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sepa-my.sharepoint.com/personal/appier_christopher_epa_gov/Documents/Documents/Projects/Git Repos/idnr_dmr_reformat/input/"/>
    </mc:Choice>
  </mc:AlternateContent>
  <xr:revisionPtr revIDLastSave="0" documentId="8_{D036B0E6-54DD-4195-B1C4-6E115159A326}" xr6:coauthVersionLast="47" xr6:coauthVersionMax="47" xr10:uidLastSave="{00000000-0000-0000-0000-000000000000}"/>
  <workbookProtection workbookAlgorithmName="SHA-512" workbookHashValue="gfA8wLeGfmgb5FZIevdjZxz0wqwhllI7DN2tonC7yqfELIFo5zZ1D2P09jFgb1VrlOpiLB91fntwFn8daUMSqQ==" workbookSaltValue="2K20SLlmGbV8ZL9h266j5g==" workbookSpinCount="100000" lockStructure="1"/>
  <bookViews>
    <workbookView xWindow="-120" yWindow="-16320" windowWidth="29040" windowHeight="16440" activeTab="1" xr2:uid="{00000000-000D-0000-FFFF-FFFF00000000}"/>
  </bookViews>
  <sheets>
    <sheet name="Cover" sheetId="1" r:id="rId1"/>
    <sheet name="001-EFFLUENT" sheetId="2" r:id="rId2"/>
    <sheet name="005-EFFLUENT" sheetId="3" r:id="rId3"/>
    <sheet name="006-EFFLUENT" sheetId="4" r:id="rId4"/>
    <sheet name="007-EFFLUENT" sheetId="5" r:id="rId5"/>
    <sheet name="009-EFFLUENT" sheetId="6" r:id="rId6"/>
    <sheet name="011-EFFLUENT" sheetId="7" r:id="rId7"/>
    <sheet name="012-INFLUENT" sheetId="8" r:id="rId8"/>
    <sheet name="012-EFFLUENT" sheetId="9" r:id="rId9"/>
    <sheet name="013-EFFLUENT" sheetId="10" r:id="rId10"/>
    <sheet name="014-EFFLUENT" sheetId="11" r:id="rId11"/>
    <sheet name="015-EFFLUENT" sheetId="12" r:id="rId12"/>
    <sheet name="016-EFFLUENT" sheetId="13" r:id="rId13"/>
    <sheet name="019-EFFLUENT" sheetId="14" r:id="rId14"/>
    <sheet name="020-EFFLUENT" sheetId="15" r:id="rId15"/>
  </sheets>
  <definedNames>
    <definedName name="_xlnm.Print_Area" localSheetId="0">Cover!$A$1:$K$59</definedName>
    <definedName name="_xlnm.Print_Titles" localSheetId="1">'001-EFFLUENT'!$A:$A,'001-EFFLUENT'!$1:$6</definedName>
    <definedName name="_xlnm.Print_Titles" localSheetId="2">'005-EFFLUENT'!$A:$A,'005-EFFLUENT'!$1:$6</definedName>
    <definedName name="_xlnm.Print_Titles" localSheetId="3">'006-EFFLUENT'!$A:$A,'006-EFFLUENT'!$1:$6</definedName>
    <definedName name="_xlnm.Print_Titles" localSheetId="4">'007-EFFLUENT'!$A:$A,'007-EFFLUENT'!$1:$6</definedName>
    <definedName name="_xlnm.Print_Titles" localSheetId="5">'009-EFFLUENT'!$A:$A,'009-EFFLUENT'!$1:$6</definedName>
    <definedName name="_xlnm.Print_Titles" localSheetId="6">'011-EFFLUENT'!$A:$A,'011-EFFLUENT'!$1:$6</definedName>
    <definedName name="_xlnm.Print_Titles" localSheetId="8">'012-EFFLUENT'!$A:$A,'012-EFFLUENT'!$1:$6</definedName>
    <definedName name="_xlnm.Print_Titles" localSheetId="7">'012-INFLUENT'!$A:$A,'012-INFLUENT'!$1:$6</definedName>
    <definedName name="_xlnm.Print_Titles" localSheetId="9">'013-EFFLUENT'!$A:$A,'013-EFFLUENT'!$1:$6</definedName>
    <definedName name="_xlnm.Print_Titles" localSheetId="10">'014-EFFLUENT'!$A:$A,'014-EFFLUENT'!$1:$6</definedName>
    <definedName name="_xlnm.Print_Titles" localSheetId="11">'015-EFFLUENT'!$A:$A,'015-EFFLUENT'!$1:$6</definedName>
    <definedName name="_xlnm.Print_Titles" localSheetId="12">'016-EFFLUENT'!$A:$A,'016-EFFLUENT'!$1:$6</definedName>
    <definedName name="_xlnm.Print_Titles" localSheetId="13">'019-EFFLUENT'!$A:$A,'019-EFFLUENT'!$1:$6</definedName>
    <definedName name="_xlnm.Print_Titles" localSheetId="14">'020-EFFLUENT'!$A:$A,'020-EFFLUENT'!$1:$6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15" l="1"/>
  <c r="B95" i="15"/>
  <c r="B94" i="15"/>
  <c r="B93" i="15"/>
  <c r="B92" i="15"/>
  <c r="B91" i="15"/>
  <c r="B90" i="15"/>
  <c r="B89" i="15"/>
  <c r="B88" i="15"/>
  <c r="B87" i="15"/>
  <c r="B86" i="15"/>
  <c r="B60" i="15" s="1"/>
  <c r="B85" i="15"/>
  <c r="B84" i="15"/>
  <c r="B83" i="15"/>
  <c r="B59" i="15" s="1"/>
  <c r="B82" i="15"/>
  <c r="B81" i="15"/>
  <c r="B80" i="15"/>
  <c r="B79" i="15"/>
  <c r="B78" i="15"/>
  <c r="B77" i="15"/>
  <c r="B76" i="15"/>
  <c r="B75" i="15"/>
  <c r="B74" i="15"/>
  <c r="B51" i="15" s="1"/>
  <c r="B73" i="15"/>
  <c r="B72" i="15"/>
  <c r="B71" i="15"/>
  <c r="B70" i="15"/>
  <c r="B69" i="15"/>
  <c r="B68" i="15"/>
  <c r="B67" i="15"/>
  <c r="B66" i="15"/>
  <c r="B65" i="15"/>
  <c r="B54" i="15" s="1"/>
  <c r="B6" i="15"/>
  <c r="C96" i="14"/>
  <c r="B96" i="14"/>
  <c r="D50" i="14" s="1"/>
  <c r="D96" i="14" s="1"/>
  <c r="C95" i="14"/>
  <c r="B95" i="14"/>
  <c r="D49" i="14" s="1"/>
  <c r="D95" i="14" s="1"/>
  <c r="C94" i="14"/>
  <c r="D48" i="14" s="1"/>
  <c r="D94" i="14" s="1"/>
  <c r="B94" i="14"/>
  <c r="C93" i="14"/>
  <c r="B93" i="14"/>
  <c r="C92" i="14"/>
  <c r="B92" i="14"/>
  <c r="C91" i="14"/>
  <c r="B91" i="14"/>
  <c r="D45" i="14" s="1"/>
  <c r="D91" i="14" s="1"/>
  <c r="C90" i="14"/>
  <c r="D44" i="14" s="1"/>
  <c r="D90" i="14" s="1"/>
  <c r="B90" i="14"/>
  <c r="C89" i="14"/>
  <c r="B89" i="14"/>
  <c r="D43" i="14" s="1"/>
  <c r="D89" i="14" s="1"/>
  <c r="C88" i="14"/>
  <c r="D42" i="14" s="1"/>
  <c r="D88" i="14" s="1"/>
  <c r="B88" i="14"/>
  <c r="C87" i="14"/>
  <c r="B87" i="14"/>
  <c r="C86" i="14"/>
  <c r="C60" i="14" s="1"/>
  <c r="B86" i="14"/>
  <c r="D40" i="14" s="1"/>
  <c r="D86" i="14" s="1"/>
  <c r="C85" i="14"/>
  <c r="B85" i="14"/>
  <c r="C84" i="14"/>
  <c r="B84" i="14"/>
  <c r="C83" i="14"/>
  <c r="B83" i="14"/>
  <c r="D37" i="14" s="1"/>
  <c r="D83" i="14" s="1"/>
  <c r="C82" i="14"/>
  <c r="B82" i="14"/>
  <c r="D36" i="14" s="1"/>
  <c r="D82" i="14" s="1"/>
  <c r="C81" i="14"/>
  <c r="B81" i="14"/>
  <c r="D35" i="14" s="1"/>
  <c r="D81" i="14" s="1"/>
  <c r="D80" i="14"/>
  <c r="C80" i="14"/>
  <c r="B80" i="14"/>
  <c r="B59" i="14" s="1"/>
  <c r="C79" i="14"/>
  <c r="D33" i="14" s="1"/>
  <c r="D79" i="14" s="1"/>
  <c r="B79" i="14"/>
  <c r="C78" i="14"/>
  <c r="B78" i="14"/>
  <c r="C77" i="14"/>
  <c r="D31" i="14" s="1"/>
  <c r="D77" i="14" s="1"/>
  <c r="B77" i="14"/>
  <c r="C76" i="14"/>
  <c r="B76" i="14"/>
  <c r="D30" i="14" s="1"/>
  <c r="D76" i="14" s="1"/>
  <c r="C75" i="14"/>
  <c r="B75" i="14"/>
  <c r="C74" i="14"/>
  <c r="B74" i="14"/>
  <c r="C73" i="14"/>
  <c r="C51" i="14" s="1"/>
  <c r="B73" i="14"/>
  <c r="C72" i="14"/>
  <c r="B72" i="14"/>
  <c r="C71" i="14"/>
  <c r="B71" i="14"/>
  <c r="D25" i="14" s="1"/>
  <c r="D71" i="14" s="1"/>
  <c r="C70" i="14"/>
  <c r="B70" i="14"/>
  <c r="C69" i="14"/>
  <c r="D23" i="14" s="1"/>
  <c r="D69" i="14" s="1"/>
  <c r="B69" i="14"/>
  <c r="C68" i="14"/>
  <c r="B68" i="14"/>
  <c r="C67" i="14"/>
  <c r="C57" i="14" s="1"/>
  <c r="B67" i="14"/>
  <c r="C66" i="14"/>
  <c r="B66" i="14"/>
  <c r="D65" i="14"/>
  <c r="C65" i="14"/>
  <c r="B65" i="14"/>
  <c r="D47" i="14"/>
  <c r="D93" i="14" s="1"/>
  <c r="D46" i="14"/>
  <c r="D92" i="14" s="1"/>
  <c r="D41" i="14"/>
  <c r="D87" i="14" s="1"/>
  <c r="D39" i="14"/>
  <c r="D85" i="14" s="1"/>
  <c r="D38" i="14"/>
  <c r="D84" i="14" s="1"/>
  <c r="D34" i="14"/>
  <c r="D32" i="14"/>
  <c r="D78" i="14" s="1"/>
  <c r="D29" i="14"/>
  <c r="D75" i="14" s="1"/>
  <c r="D26" i="14"/>
  <c r="D72" i="14" s="1"/>
  <c r="D24" i="14"/>
  <c r="D70" i="14" s="1"/>
  <c r="D21" i="14"/>
  <c r="D67" i="14" s="1"/>
  <c r="D19" i="14"/>
  <c r="B6" i="14"/>
  <c r="B96" i="13"/>
  <c r="B95" i="13"/>
  <c r="B94" i="13"/>
  <c r="B93" i="13"/>
  <c r="B92" i="13"/>
  <c r="B91" i="13"/>
  <c r="B90" i="13"/>
  <c r="B89" i="13"/>
  <c r="B88" i="13"/>
  <c r="B87" i="13"/>
  <c r="B86" i="13"/>
  <c r="B85" i="13"/>
  <c r="B84" i="13"/>
  <c r="B83" i="13"/>
  <c r="B82" i="13"/>
  <c r="B81" i="13"/>
  <c r="B80" i="13"/>
  <c r="B59" i="13" s="1"/>
  <c r="B79" i="13"/>
  <c r="B78" i="13"/>
  <c r="B77" i="13"/>
  <c r="B76" i="13"/>
  <c r="B75" i="13"/>
  <c r="B74" i="13"/>
  <c r="B51" i="13" s="1"/>
  <c r="B73" i="13"/>
  <c r="B72" i="13"/>
  <c r="B71" i="13"/>
  <c r="B70" i="13"/>
  <c r="B69" i="13"/>
  <c r="B68" i="13"/>
  <c r="B67" i="13"/>
  <c r="B66" i="13"/>
  <c r="B65" i="13"/>
  <c r="B6" i="13"/>
  <c r="B96" i="12"/>
  <c r="B95" i="12"/>
  <c r="B94" i="12"/>
  <c r="B93" i="12"/>
  <c r="B92" i="12"/>
  <c r="B60" i="12" s="1"/>
  <c r="B91" i="12"/>
  <c r="B90" i="12"/>
  <c r="B89" i="12"/>
  <c r="B88" i="12"/>
  <c r="B87" i="12"/>
  <c r="B86" i="12"/>
  <c r="B85" i="12"/>
  <c r="B84" i="12"/>
  <c r="B83" i="12"/>
  <c r="B82" i="12"/>
  <c r="B81" i="12"/>
  <c r="B80" i="12"/>
  <c r="B59" i="12" s="1"/>
  <c r="B79" i="12"/>
  <c r="B78" i="12"/>
  <c r="B77" i="12"/>
  <c r="B76" i="12"/>
  <c r="B75" i="12"/>
  <c r="B74" i="12"/>
  <c r="B51" i="12" s="1"/>
  <c r="B73" i="12"/>
  <c r="B72" i="12"/>
  <c r="B71" i="12"/>
  <c r="B70" i="12"/>
  <c r="B69" i="12"/>
  <c r="B68" i="12"/>
  <c r="B67" i="12"/>
  <c r="B66" i="12"/>
  <c r="B65" i="12"/>
  <c r="B57" i="12" s="1"/>
  <c r="B6" i="12"/>
  <c r="B96" i="11"/>
  <c r="B95" i="11"/>
  <c r="B94" i="11"/>
  <c r="B93" i="11"/>
  <c r="B92" i="11"/>
  <c r="B91" i="11"/>
  <c r="B90" i="11"/>
  <c r="B89" i="11"/>
  <c r="B88" i="11"/>
  <c r="B87" i="11"/>
  <c r="B86" i="11"/>
  <c r="B85" i="11"/>
  <c r="B84" i="11"/>
  <c r="B83" i="11"/>
  <c r="B82" i="11"/>
  <c r="B81" i="11"/>
  <c r="B80" i="11"/>
  <c r="B79" i="11"/>
  <c r="B78" i="11"/>
  <c r="B77" i="11"/>
  <c r="B76" i="11"/>
  <c r="B75" i="11"/>
  <c r="B74" i="11"/>
  <c r="B51" i="11" s="1"/>
  <c r="B73" i="11"/>
  <c r="B72" i="11"/>
  <c r="B71" i="11"/>
  <c r="B70" i="11"/>
  <c r="B69" i="11"/>
  <c r="B68" i="11"/>
  <c r="B67" i="11"/>
  <c r="B66" i="11"/>
  <c r="B65" i="11"/>
  <c r="B6" i="11"/>
  <c r="B96" i="10"/>
  <c r="B95" i="10"/>
  <c r="B94" i="10"/>
  <c r="B93" i="10"/>
  <c r="B92" i="10"/>
  <c r="B91" i="10"/>
  <c r="B90" i="10"/>
  <c r="B89" i="10"/>
  <c r="B88" i="10"/>
  <c r="B87" i="10"/>
  <c r="B86" i="10"/>
  <c r="B85" i="10"/>
  <c r="B84" i="10"/>
  <c r="B83" i="10"/>
  <c r="B82" i="10"/>
  <c r="B81" i="10"/>
  <c r="B80" i="10"/>
  <c r="B79" i="10"/>
  <c r="B78" i="10"/>
  <c r="B77" i="10"/>
  <c r="B76" i="10"/>
  <c r="B75" i="10"/>
  <c r="B74" i="10"/>
  <c r="B51" i="10" s="1"/>
  <c r="B73" i="10"/>
  <c r="B72" i="10"/>
  <c r="B71" i="10"/>
  <c r="B70" i="10"/>
  <c r="B69" i="10"/>
  <c r="B68" i="10"/>
  <c r="B57" i="10" s="1"/>
  <c r="B67" i="10"/>
  <c r="B66" i="10"/>
  <c r="B65" i="10"/>
  <c r="B6" i="10"/>
  <c r="X96" i="9"/>
  <c r="W96" i="9"/>
  <c r="V96" i="9"/>
  <c r="U96" i="9"/>
  <c r="T96" i="9"/>
  <c r="R96" i="9"/>
  <c r="Q96" i="9"/>
  <c r="O96" i="9"/>
  <c r="M96" i="9"/>
  <c r="K96" i="9"/>
  <c r="I96" i="9"/>
  <c r="G96" i="9"/>
  <c r="E96" i="9"/>
  <c r="C96" i="9"/>
  <c r="B96" i="9"/>
  <c r="S50" i="9" s="1"/>
  <c r="S96" i="9" s="1"/>
  <c r="X95" i="9"/>
  <c r="W95" i="9"/>
  <c r="V95" i="9"/>
  <c r="U95" i="9"/>
  <c r="T95" i="9"/>
  <c r="R95" i="9"/>
  <c r="Q95" i="9"/>
  <c r="O95" i="9"/>
  <c r="M95" i="9"/>
  <c r="K95" i="9"/>
  <c r="I95" i="9"/>
  <c r="G95" i="9"/>
  <c r="E95" i="9"/>
  <c r="C95" i="9"/>
  <c r="B95" i="9"/>
  <c r="X94" i="9"/>
  <c r="W94" i="9"/>
  <c r="V94" i="9"/>
  <c r="U94" i="9"/>
  <c r="T94" i="9"/>
  <c r="R94" i="9"/>
  <c r="Q94" i="9"/>
  <c r="O94" i="9"/>
  <c r="M94" i="9"/>
  <c r="K94" i="9"/>
  <c r="I94" i="9"/>
  <c r="G94" i="9"/>
  <c r="E94" i="9"/>
  <c r="C94" i="9"/>
  <c r="B94" i="9"/>
  <c r="S48" i="9" s="1"/>
  <c r="S94" i="9" s="1"/>
  <c r="X93" i="9"/>
  <c r="W93" i="9"/>
  <c r="V93" i="9"/>
  <c r="U93" i="9"/>
  <c r="T93" i="9"/>
  <c r="R93" i="9"/>
  <c r="Q93" i="9"/>
  <c r="O93" i="9"/>
  <c r="P47" i="9" s="1"/>
  <c r="P93" i="9" s="1"/>
  <c r="M93" i="9"/>
  <c r="N47" i="9" s="1"/>
  <c r="N93" i="9" s="1"/>
  <c r="K93" i="9"/>
  <c r="I93" i="9"/>
  <c r="G93" i="9"/>
  <c r="H47" i="9" s="1"/>
  <c r="H93" i="9" s="1"/>
  <c r="E93" i="9"/>
  <c r="F47" i="9" s="1"/>
  <c r="F93" i="9" s="1"/>
  <c r="C93" i="9"/>
  <c r="B93" i="9"/>
  <c r="D47" i="9" s="1"/>
  <c r="D93" i="9" s="1"/>
  <c r="X92" i="9"/>
  <c r="W92" i="9"/>
  <c r="V92" i="9"/>
  <c r="U92" i="9"/>
  <c r="T92" i="9"/>
  <c r="R92" i="9"/>
  <c r="Q92" i="9"/>
  <c r="O92" i="9"/>
  <c r="P46" i="9" s="1"/>
  <c r="P92" i="9" s="1"/>
  <c r="M92" i="9"/>
  <c r="K92" i="9"/>
  <c r="I92" i="9"/>
  <c r="G92" i="9"/>
  <c r="E92" i="9"/>
  <c r="C92" i="9"/>
  <c r="D46" i="9" s="1"/>
  <c r="D92" i="9" s="1"/>
  <c r="B92" i="9"/>
  <c r="X91" i="9"/>
  <c r="W91" i="9"/>
  <c r="V91" i="9"/>
  <c r="U91" i="9"/>
  <c r="T91" i="9"/>
  <c r="R91" i="9"/>
  <c r="S45" i="9" s="1"/>
  <c r="S91" i="9" s="1"/>
  <c r="Q91" i="9"/>
  <c r="O91" i="9"/>
  <c r="M91" i="9"/>
  <c r="K91" i="9"/>
  <c r="I91" i="9"/>
  <c r="G91" i="9"/>
  <c r="E91" i="9"/>
  <c r="C91" i="9"/>
  <c r="B91" i="9"/>
  <c r="X90" i="9"/>
  <c r="W90" i="9"/>
  <c r="V90" i="9"/>
  <c r="U90" i="9"/>
  <c r="T90" i="9"/>
  <c r="R90" i="9"/>
  <c r="Q90" i="9"/>
  <c r="O90" i="9"/>
  <c r="M90" i="9"/>
  <c r="K90" i="9"/>
  <c r="I90" i="9"/>
  <c r="G90" i="9"/>
  <c r="E90" i="9"/>
  <c r="C90" i="9"/>
  <c r="B90" i="9"/>
  <c r="J44" i="9" s="1"/>
  <c r="J90" i="9" s="1"/>
  <c r="X89" i="9"/>
  <c r="W89" i="9"/>
  <c r="V89" i="9"/>
  <c r="U89" i="9"/>
  <c r="T89" i="9"/>
  <c r="R89" i="9"/>
  <c r="Q89" i="9"/>
  <c r="O89" i="9"/>
  <c r="M89" i="9"/>
  <c r="K89" i="9"/>
  <c r="L43" i="9" s="1"/>
  <c r="L89" i="9" s="1"/>
  <c r="I89" i="9"/>
  <c r="J43" i="9" s="1"/>
  <c r="J89" i="9" s="1"/>
  <c r="G89" i="9"/>
  <c r="H43" i="9" s="1"/>
  <c r="H89" i="9" s="1"/>
  <c r="E89" i="9"/>
  <c r="F43" i="9" s="1"/>
  <c r="F89" i="9" s="1"/>
  <c r="C89" i="9"/>
  <c r="D43" i="9" s="1"/>
  <c r="D89" i="9" s="1"/>
  <c r="B89" i="9"/>
  <c r="X88" i="9"/>
  <c r="W88" i="9"/>
  <c r="W60" i="9" s="1"/>
  <c r="V88" i="9"/>
  <c r="U88" i="9"/>
  <c r="T88" i="9"/>
  <c r="R88" i="9"/>
  <c r="Q88" i="9"/>
  <c r="O88" i="9"/>
  <c r="M88" i="9"/>
  <c r="K88" i="9"/>
  <c r="I88" i="9"/>
  <c r="G88" i="9"/>
  <c r="E88" i="9"/>
  <c r="C88" i="9"/>
  <c r="B88" i="9"/>
  <c r="P42" i="9" s="1"/>
  <c r="P88" i="9" s="1"/>
  <c r="X87" i="9"/>
  <c r="W87" i="9"/>
  <c r="V87" i="9"/>
  <c r="U87" i="9"/>
  <c r="T87" i="9"/>
  <c r="R87" i="9"/>
  <c r="Q87" i="9"/>
  <c r="O87" i="9"/>
  <c r="M87" i="9"/>
  <c r="K87" i="9"/>
  <c r="I87" i="9"/>
  <c r="G87" i="9"/>
  <c r="E87" i="9"/>
  <c r="C87" i="9"/>
  <c r="B87" i="9"/>
  <c r="S41" i="9" s="1"/>
  <c r="S87" i="9" s="1"/>
  <c r="X86" i="9"/>
  <c r="W86" i="9"/>
  <c r="V86" i="9"/>
  <c r="U86" i="9"/>
  <c r="T86" i="9"/>
  <c r="R86" i="9"/>
  <c r="Q86" i="9"/>
  <c r="O86" i="9"/>
  <c r="M86" i="9"/>
  <c r="K86" i="9"/>
  <c r="L40" i="9" s="1"/>
  <c r="L86" i="9" s="1"/>
  <c r="I86" i="9"/>
  <c r="G86" i="9"/>
  <c r="E86" i="9"/>
  <c r="C86" i="9"/>
  <c r="B86" i="9"/>
  <c r="S40" i="9" s="1"/>
  <c r="S86" i="9" s="1"/>
  <c r="X85" i="9"/>
  <c r="W85" i="9"/>
  <c r="V85" i="9"/>
  <c r="U85" i="9"/>
  <c r="T85" i="9"/>
  <c r="R85" i="9"/>
  <c r="Q85" i="9"/>
  <c r="O85" i="9"/>
  <c r="M85" i="9"/>
  <c r="K85" i="9"/>
  <c r="L39" i="9" s="1"/>
  <c r="L85" i="9" s="1"/>
  <c r="I85" i="9"/>
  <c r="J39" i="9" s="1"/>
  <c r="J85" i="9" s="1"/>
  <c r="G85" i="9"/>
  <c r="H39" i="9" s="1"/>
  <c r="H85" i="9" s="1"/>
  <c r="E85" i="9"/>
  <c r="F39" i="9" s="1"/>
  <c r="F85" i="9" s="1"/>
  <c r="C85" i="9"/>
  <c r="D39" i="9" s="1"/>
  <c r="D85" i="9" s="1"/>
  <c r="B85" i="9"/>
  <c r="X84" i="9"/>
  <c r="W84" i="9"/>
  <c r="V84" i="9"/>
  <c r="U84" i="9"/>
  <c r="T84" i="9"/>
  <c r="R84" i="9"/>
  <c r="Q84" i="9"/>
  <c r="O84" i="9"/>
  <c r="P38" i="9" s="1"/>
  <c r="P84" i="9" s="1"/>
  <c r="M84" i="9"/>
  <c r="N38" i="9" s="1"/>
  <c r="N84" i="9" s="1"/>
  <c r="K84" i="9"/>
  <c r="L38" i="9" s="1"/>
  <c r="L84" i="9" s="1"/>
  <c r="I84" i="9"/>
  <c r="G84" i="9"/>
  <c r="E84" i="9"/>
  <c r="C84" i="9"/>
  <c r="B84" i="9"/>
  <c r="X83" i="9"/>
  <c r="W83" i="9"/>
  <c r="V83" i="9"/>
  <c r="U83" i="9"/>
  <c r="T83" i="9"/>
  <c r="R83" i="9"/>
  <c r="Q83" i="9"/>
  <c r="O83" i="9"/>
  <c r="M83" i="9"/>
  <c r="K83" i="9"/>
  <c r="I83" i="9"/>
  <c r="G83" i="9"/>
  <c r="E83" i="9"/>
  <c r="C83" i="9"/>
  <c r="B83" i="9"/>
  <c r="X82" i="9"/>
  <c r="W82" i="9"/>
  <c r="V82" i="9"/>
  <c r="U82" i="9"/>
  <c r="T82" i="9"/>
  <c r="R82" i="9"/>
  <c r="Q82" i="9"/>
  <c r="O82" i="9"/>
  <c r="M82" i="9"/>
  <c r="K82" i="9"/>
  <c r="I82" i="9"/>
  <c r="J36" i="9" s="1"/>
  <c r="J82" i="9" s="1"/>
  <c r="G82" i="9"/>
  <c r="E82" i="9"/>
  <c r="C82" i="9"/>
  <c r="B82" i="9"/>
  <c r="S36" i="9" s="1"/>
  <c r="S82" i="9" s="1"/>
  <c r="X81" i="9"/>
  <c r="W81" i="9"/>
  <c r="V81" i="9"/>
  <c r="U81" i="9"/>
  <c r="T81" i="9"/>
  <c r="R81" i="9"/>
  <c r="Q81" i="9"/>
  <c r="O81" i="9"/>
  <c r="M81" i="9"/>
  <c r="K81" i="9"/>
  <c r="I81" i="9"/>
  <c r="G81" i="9"/>
  <c r="E81" i="9"/>
  <c r="C81" i="9"/>
  <c r="B81" i="9"/>
  <c r="N35" i="9" s="1"/>
  <c r="N81" i="9" s="1"/>
  <c r="X80" i="9"/>
  <c r="W80" i="9"/>
  <c r="V80" i="9"/>
  <c r="U80" i="9"/>
  <c r="T80" i="9"/>
  <c r="R80" i="9"/>
  <c r="S34" i="9" s="1"/>
  <c r="S80" i="9" s="1"/>
  <c r="Q80" i="9"/>
  <c r="O80" i="9"/>
  <c r="M80" i="9"/>
  <c r="K80" i="9"/>
  <c r="L34" i="9" s="1"/>
  <c r="L80" i="9" s="1"/>
  <c r="I80" i="9"/>
  <c r="J34" i="9" s="1"/>
  <c r="J80" i="9" s="1"/>
  <c r="G80" i="9"/>
  <c r="E80" i="9"/>
  <c r="F34" i="9" s="1"/>
  <c r="F80" i="9" s="1"/>
  <c r="C80" i="9"/>
  <c r="B80" i="9"/>
  <c r="X79" i="9"/>
  <c r="W79" i="9"/>
  <c r="V79" i="9"/>
  <c r="U79" i="9"/>
  <c r="T79" i="9"/>
  <c r="R79" i="9"/>
  <c r="Q79" i="9"/>
  <c r="O79" i="9"/>
  <c r="M79" i="9"/>
  <c r="M51" i="9" s="1"/>
  <c r="K79" i="9"/>
  <c r="I79" i="9"/>
  <c r="G79" i="9"/>
  <c r="E79" i="9"/>
  <c r="C79" i="9"/>
  <c r="B79" i="9"/>
  <c r="S33" i="9" s="1"/>
  <c r="S79" i="9" s="1"/>
  <c r="X78" i="9"/>
  <c r="W78" i="9"/>
  <c r="V78" i="9"/>
  <c r="U78" i="9"/>
  <c r="T78" i="9"/>
  <c r="R78" i="9"/>
  <c r="Q78" i="9"/>
  <c r="O78" i="9"/>
  <c r="M78" i="9"/>
  <c r="K78" i="9"/>
  <c r="L32" i="9" s="1"/>
  <c r="L78" i="9" s="1"/>
  <c r="I78" i="9"/>
  <c r="G78" i="9"/>
  <c r="H32" i="9" s="1"/>
  <c r="H78" i="9" s="1"/>
  <c r="E78" i="9"/>
  <c r="C78" i="9"/>
  <c r="D32" i="9" s="1"/>
  <c r="D78" i="9" s="1"/>
  <c r="B78" i="9"/>
  <c r="F32" i="9" s="1"/>
  <c r="F78" i="9" s="1"/>
  <c r="X77" i="9"/>
  <c r="X51" i="9" s="1"/>
  <c r="W77" i="9"/>
  <c r="W51" i="9" s="1"/>
  <c r="V77" i="9"/>
  <c r="U77" i="9"/>
  <c r="T77" i="9"/>
  <c r="R77" i="9"/>
  <c r="Q77" i="9"/>
  <c r="O77" i="9"/>
  <c r="M77" i="9"/>
  <c r="K77" i="9"/>
  <c r="I77" i="9"/>
  <c r="G77" i="9"/>
  <c r="E77" i="9"/>
  <c r="C77" i="9"/>
  <c r="B77" i="9"/>
  <c r="P31" i="9" s="1"/>
  <c r="P77" i="9" s="1"/>
  <c r="X76" i="9"/>
  <c r="W76" i="9"/>
  <c r="V76" i="9"/>
  <c r="U76" i="9"/>
  <c r="T76" i="9"/>
  <c r="R76" i="9"/>
  <c r="Q76" i="9"/>
  <c r="O76" i="9"/>
  <c r="M76" i="9"/>
  <c r="K76" i="9"/>
  <c r="L30" i="9" s="1"/>
  <c r="L76" i="9" s="1"/>
  <c r="I76" i="9"/>
  <c r="G76" i="9"/>
  <c r="E76" i="9"/>
  <c r="F30" i="9" s="1"/>
  <c r="F76" i="9" s="1"/>
  <c r="C76" i="9"/>
  <c r="D30" i="9" s="1"/>
  <c r="D76" i="9" s="1"/>
  <c r="B76" i="9"/>
  <c r="S30" i="9" s="1"/>
  <c r="S76" i="9" s="1"/>
  <c r="X75" i="9"/>
  <c r="W75" i="9"/>
  <c r="V75" i="9"/>
  <c r="U75" i="9"/>
  <c r="T75" i="9"/>
  <c r="R75" i="9"/>
  <c r="Q75" i="9"/>
  <c r="O75" i="9"/>
  <c r="M75" i="9"/>
  <c r="K75" i="9"/>
  <c r="I75" i="9"/>
  <c r="G75" i="9"/>
  <c r="E75" i="9"/>
  <c r="C75" i="9"/>
  <c r="B75" i="9"/>
  <c r="S29" i="9" s="1"/>
  <c r="S75" i="9" s="1"/>
  <c r="X74" i="9"/>
  <c r="W74" i="9"/>
  <c r="V74" i="9"/>
  <c r="U74" i="9"/>
  <c r="T74" i="9"/>
  <c r="R74" i="9"/>
  <c r="Q74" i="9"/>
  <c r="O74" i="9"/>
  <c r="M74" i="9"/>
  <c r="K74" i="9"/>
  <c r="I74" i="9"/>
  <c r="G74" i="9"/>
  <c r="H28" i="9" s="1"/>
  <c r="H74" i="9" s="1"/>
  <c r="E74" i="9"/>
  <c r="C74" i="9"/>
  <c r="D28" i="9" s="1"/>
  <c r="D74" i="9" s="1"/>
  <c r="B74" i="9"/>
  <c r="X73" i="9"/>
  <c r="W73" i="9"/>
  <c r="V73" i="9"/>
  <c r="U73" i="9"/>
  <c r="T73" i="9"/>
  <c r="R73" i="9"/>
  <c r="Q73" i="9"/>
  <c r="O73" i="9"/>
  <c r="M73" i="9"/>
  <c r="K73" i="9"/>
  <c r="I73" i="9"/>
  <c r="G73" i="9"/>
  <c r="E73" i="9"/>
  <c r="C73" i="9"/>
  <c r="B73" i="9"/>
  <c r="S27" i="9" s="1"/>
  <c r="S73" i="9" s="1"/>
  <c r="X72" i="9"/>
  <c r="W72" i="9"/>
  <c r="V72" i="9"/>
  <c r="U72" i="9"/>
  <c r="T72" i="9"/>
  <c r="R72" i="9"/>
  <c r="S26" i="9" s="1"/>
  <c r="S72" i="9" s="1"/>
  <c r="Q72" i="9"/>
  <c r="O72" i="9"/>
  <c r="P26" i="9" s="1"/>
  <c r="P72" i="9" s="1"/>
  <c r="M72" i="9"/>
  <c r="N26" i="9" s="1"/>
  <c r="N72" i="9" s="1"/>
  <c r="K72" i="9"/>
  <c r="I72" i="9"/>
  <c r="J26" i="9" s="1"/>
  <c r="J72" i="9" s="1"/>
  <c r="G72" i="9"/>
  <c r="E72" i="9"/>
  <c r="C72" i="9"/>
  <c r="B72" i="9"/>
  <c r="L26" i="9" s="1"/>
  <c r="L72" i="9" s="1"/>
  <c r="X71" i="9"/>
  <c r="W71" i="9"/>
  <c r="V71" i="9"/>
  <c r="U71" i="9"/>
  <c r="T71" i="9"/>
  <c r="R71" i="9"/>
  <c r="Q71" i="9"/>
  <c r="O71" i="9"/>
  <c r="M71" i="9"/>
  <c r="K71" i="9"/>
  <c r="I71" i="9"/>
  <c r="G71" i="9"/>
  <c r="E71" i="9"/>
  <c r="C71" i="9"/>
  <c r="D25" i="9" s="1"/>
  <c r="D71" i="9" s="1"/>
  <c r="B71" i="9"/>
  <c r="N25" i="9" s="1"/>
  <c r="N71" i="9" s="1"/>
  <c r="X70" i="9"/>
  <c r="W70" i="9"/>
  <c r="V70" i="9"/>
  <c r="U70" i="9"/>
  <c r="T70" i="9"/>
  <c r="R70" i="9"/>
  <c r="Q70" i="9"/>
  <c r="O70" i="9"/>
  <c r="M70" i="9"/>
  <c r="K70" i="9"/>
  <c r="L24" i="9" s="1"/>
  <c r="L70" i="9" s="1"/>
  <c r="I70" i="9"/>
  <c r="G70" i="9"/>
  <c r="H24" i="9" s="1"/>
  <c r="H70" i="9" s="1"/>
  <c r="E70" i="9"/>
  <c r="C70" i="9"/>
  <c r="B70" i="9"/>
  <c r="F24" i="9" s="1"/>
  <c r="F70" i="9" s="1"/>
  <c r="X69" i="9"/>
  <c r="W69" i="9"/>
  <c r="V69" i="9"/>
  <c r="U69" i="9"/>
  <c r="T69" i="9"/>
  <c r="R69" i="9"/>
  <c r="Q69" i="9"/>
  <c r="O69" i="9"/>
  <c r="M69" i="9"/>
  <c r="K69" i="9"/>
  <c r="I69" i="9"/>
  <c r="G69" i="9"/>
  <c r="H23" i="9" s="1"/>
  <c r="H69" i="9" s="1"/>
  <c r="E69" i="9"/>
  <c r="C69" i="9"/>
  <c r="C57" i="9" s="1"/>
  <c r="B69" i="9"/>
  <c r="J23" i="9" s="1"/>
  <c r="J69" i="9" s="1"/>
  <c r="X68" i="9"/>
  <c r="W68" i="9"/>
  <c r="V68" i="9"/>
  <c r="U68" i="9"/>
  <c r="T68" i="9"/>
  <c r="R68" i="9"/>
  <c r="Q68" i="9"/>
  <c r="O68" i="9"/>
  <c r="M68" i="9"/>
  <c r="K68" i="9"/>
  <c r="I68" i="9"/>
  <c r="G68" i="9"/>
  <c r="E68" i="9"/>
  <c r="C68" i="9"/>
  <c r="B68" i="9"/>
  <c r="X67" i="9"/>
  <c r="W67" i="9"/>
  <c r="V67" i="9"/>
  <c r="U67" i="9"/>
  <c r="T67" i="9"/>
  <c r="R67" i="9"/>
  <c r="Q67" i="9"/>
  <c r="O67" i="9"/>
  <c r="M67" i="9"/>
  <c r="K67" i="9"/>
  <c r="I67" i="9"/>
  <c r="G67" i="9"/>
  <c r="H21" i="9" s="1"/>
  <c r="H67" i="9" s="1"/>
  <c r="E67" i="9"/>
  <c r="C67" i="9"/>
  <c r="B67" i="9"/>
  <c r="S21" i="9" s="1"/>
  <c r="S67" i="9" s="1"/>
  <c r="X66" i="9"/>
  <c r="W66" i="9"/>
  <c r="V66" i="9"/>
  <c r="U66" i="9"/>
  <c r="U53" i="9" s="1"/>
  <c r="T66" i="9"/>
  <c r="R66" i="9"/>
  <c r="Q66" i="9"/>
  <c r="O66" i="9"/>
  <c r="P20" i="9" s="1"/>
  <c r="P66" i="9" s="1"/>
  <c r="M66" i="9"/>
  <c r="K66" i="9"/>
  <c r="I66" i="9"/>
  <c r="G66" i="9"/>
  <c r="E66" i="9"/>
  <c r="C66" i="9"/>
  <c r="B66" i="9"/>
  <c r="L20" i="9" s="1"/>
  <c r="L66" i="9" s="1"/>
  <c r="X65" i="9"/>
  <c r="W65" i="9"/>
  <c r="V65" i="9"/>
  <c r="U65" i="9"/>
  <c r="T65" i="9"/>
  <c r="R65" i="9"/>
  <c r="Q65" i="9"/>
  <c r="O65" i="9"/>
  <c r="M65" i="9"/>
  <c r="K65" i="9"/>
  <c r="I65" i="9"/>
  <c r="G65" i="9"/>
  <c r="E65" i="9"/>
  <c r="E51" i="9" s="1"/>
  <c r="C65" i="9"/>
  <c r="C51" i="9" s="1"/>
  <c r="B65" i="9"/>
  <c r="B51" i="9" s="1"/>
  <c r="X59" i="9"/>
  <c r="U58" i="9"/>
  <c r="U51" i="9"/>
  <c r="T51" i="9"/>
  <c r="F50" i="9"/>
  <c r="F96" i="9" s="1"/>
  <c r="N49" i="9"/>
  <c r="N95" i="9" s="1"/>
  <c r="S47" i="9"/>
  <c r="S93" i="9" s="1"/>
  <c r="S46" i="9"/>
  <c r="S92" i="9" s="1"/>
  <c r="P45" i="9"/>
  <c r="P91" i="9" s="1"/>
  <c r="H45" i="9"/>
  <c r="H91" i="9" s="1"/>
  <c r="F45" i="9"/>
  <c r="F91" i="9" s="1"/>
  <c r="S43" i="9"/>
  <c r="S89" i="9" s="1"/>
  <c r="P43" i="9"/>
  <c r="P89" i="9" s="1"/>
  <c r="N43" i="9"/>
  <c r="N89" i="9" s="1"/>
  <c r="N42" i="9"/>
  <c r="N88" i="9" s="1"/>
  <c r="F40" i="9"/>
  <c r="F86" i="9" s="1"/>
  <c r="S39" i="9"/>
  <c r="S85" i="9" s="1"/>
  <c r="P39" i="9"/>
  <c r="P85" i="9" s="1"/>
  <c r="N39" i="9"/>
  <c r="N85" i="9" s="1"/>
  <c r="F38" i="9"/>
  <c r="F84" i="9" s="1"/>
  <c r="L36" i="9"/>
  <c r="L82" i="9" s="1"/>
  <c r="S35" i="9"/>
  <c r="S81" i="9" s="1"/>
  <c r="P34" i="9"/>
  <c r="P80" i="9" s="1"/>
  <c r="N34" i="9"/>
  <c r="N80" i="9" s="1"/>
  <c r="P32" i="9"/>
  <c r="P78" i="9" s="1"/>
  <c r="N32" i="9"/>
  <c r="N78" i="9" s="1"/>
  <c r="S31" i="9"/>
  <c r="S77" i="9" s="1"/>
  <c r="N30" i="9"/>
  <c r="N76" i="9" s="1"/>
  <c r="S28" i="9"/>
  <c r="S74" i="9" s="1"/>
  <c r="P28" i="9"/>
  <c r="P74" i="9" s="1"/>
  <c r="S24" i="9"/>
  <c r="S70" i="9" s="1"/>
  <c r="S22" i="9"/>
  <c r="S68" i="9" s="1"/>
  <c r="N22" i="9"/>
  <c r="N68" i="9" s="1"/>
  <c r="L22" i="9"/>
  <c r="L68" i="9" s="1"/>
  <c r="F21" i="9"/>
  <c r="F67" i="9" s="1"/>
  <c r="N20" i="9"/>
  <c r="N66" i="9" s="1"/>
  <c r="B6" i="9"/>
  <c r="N96" i="8"/>
  <c r="M96" i="8"/>
  <c r="K96" i="8"/>
  <c r="I96" i="8"/>
  <c r="G96" i="8"/>
  <c r="E96" i="8"/>
  <c r="C96" i="8"/>
  <c r="B96" i="8"/>
  <c r="D50" i="8" s="1"/>
  <c r="D96" i="8" s="1"/>
  <c r="N95" i="8"/>
  <c r="M95" i="8"/>
  <c r="K95" i="8"/>
  <c r="I95" i="8"/>
  <c r="G95" i="8"/>
  <c r="E95" i="8"/>
  <c r="C95" i="8"/>
  <c r="B95" i="8"/>
  <c r="N94" i="8"/>
  <c r="M94" i="8"/>
  <c r="K94" i="8"/>
  <c r="I94" i="8"/>
  <c r="G94" i="8"/>
  <c r="E94" i="8"/>
  <c r="C94" i="8"/>
  <c r="B94" i="8"/>
  <c r="L48" i="8" s="1"/>
  <c r="L94" i="8" s="1"/>
  <c r="N93" i="8"/>
  <c r="M93" i="8"/>
  <c r="K93" i="8"/>
  <c r="I93" i="8"/>
  <c r="G93" i="8"/>
  <c r="E93" i="8"/>
  <c r="C93" i="8"/>
  <c r="B93" i="8"/>
  <c r="F47" i="8" s="1"/>
  <c r="F93" i="8" s="1"/>
  <c r="N92" i="8"/>
  <c r="M92" i="8"/>
  <c r="K92" i="8"/>
  <c r="I92" i="8"/>
  <c r="G92" i="8"/>
  <c r="E92" i="8"/>
  <c r="C92" i="8"/>
  <c r="B92" i="8"/>
  <c r="L46" i="8" s="1"/>
  <c r="L92" i="8" s="1"/>
  <c r="N91" i="8"/>
  <c r="M91" i="8"/>
  <c r="K91" i="8"/>
  <c r="I91" i="8"/>
  <c r="G91" i="8"/>
  <c r="E91" i="8"/>
  <c r="C91" i="8"/>
  <c r="B91" i="8"/>
  <c r="H45" i="8" s="1"/>
  <c r="H91" i="8" s="1"/>
  <c r="N90" i="8"/>
  <c r="M90" i="8"/>
  <c r="K90" i="8"/>
  <c r="I90" i="8"/>
  <c r="G90" i="8"/>
  <c r="E90" i="8"/>
  <c r="C90" i="8"/>
  <c r="B90" i="8"/>
  <c r="N89" i="8"/>
  <c r="M89" i="8"/>
  <c r="K89" i="8"/>
  <c r="I89" i="8"/>
  <c r="G89" i="8"/>
  <c r="E89" i="8"/>
  <c r="C89" i="8"/>
  <c r="B89" i="8"/>
  <c r="N88" i="8"/>
  <c r="M88" i="8"/>
  <c r="K88" i="8"/>
  <c r="I88" i="8"/>
  <c r="G88" i="8"/>
  <c r="E88" i="8"/>
  <c r="C88" i="8"/>
  <c r="B88" i="8"/>
  <c r="J42" i="8" s="1"/>
  <c r="J88" i="8" s="1"/>
  <c r="N87" i="8"/>
  <c r="M87" i="8"/>
  <c r="K87" i="8"/>
  <c r="I87" i="8"/>
  <c r="G87" i="8"/>
  <c r="E87" i="8"/>
  <c r="C87" i="8"/>
  <c r="B87" i="8"/>
  <c r="J41" i="8" s="1"/>
  <c r="J87" i="8" s="1"/>
  <c r="N86" i="8"/>
  <c r="M86" i="8"/>
  <c r="K86" i="8"/>
  <c r="I86" i="8"/>
  <c r="G86" i="8"/>
  <c r="E86" i="8"/>
  <c r="C86" i="8"/>
  <c r="B86" i="8"/>
  <c r="N85" i="8"/>
  <c r="M85" i="8"/>
  <c r="K85" i="8"/>
  <c r="I85" i="8"/>
  <c r="G85" i="8"/>
  <c r="E85" i="8"/>
  <c r="C85" i="8"/>
  <c r="B85" i="8"/>
  <c r="N84" i="8"/>
  <c r="M84" i="8"/>
  <c r="K84" i="8"/>
  <c r="I84" i="8"/>
  <c r="G84" i="8"/>
  <c r="E84" i="8"/>
  <c r="C84" i="8"/>
  <c r="B84" i="8"/>
  <c r="L38" i="8" s="1"/>
  <c r="L84" i="8" s="1"/>
  <c r="N83" i="8"/>
  <c r="M83" i="8"/>
  <c r="K83" i="8"/>
  <c r="I83" i="8"/>
  <c r="G83" i="8"/>
  <c r="E83" i="8"/>
  <c r="C83" i="8"/>
  <c r="B83" i="8"/>
  <c r="L37" i="8" s="1"/>
  <c r="L83" i="8" s="1"/>
  <c r="N82" i="8"/>
  <c r="M82" i="8"/>
  <c r="K82" i="8"/>
  <c r="I82" i="8"/>
  <c r="G82" i="8"/>
  <c r="E82" i="8"/>
  <c r="C82" i="8"/>
  <c r="B82" i="8"/>
  <c r="N81" i="8"/>
  <c r="M81" i="8"/>
  <c r="K81" i="8"/>
  <c r="I81" i="8"/>
  <c r="G81" i="8"/>
  <c r="E81" i="8"/>
  <c r="C81" i="8"/>
  <c r="B81" i="8"/>
  <c r="J35" i="8" s="1"/>
  <c r="J81" i="8" s="1"/>
  <c r="N80" i="8"/>
  <c r="M80" i="8"/>
  <c r="K80" i="8"/>
  <c r="I80" i="8"/>
  <c r="G80" i="8"/>
  <c r="E80" i="8"/>
  <c r="C80" i="8"/>
  <c r="B80" i="8"/>
  <c r="N79" i="8"/>
  <c r="M79" i="8"/>
  <c r="K79" i="8"/>
  <c r="I79" i="8"/>
  <c r="G79" i="8"/>
  <c r="E79" i="8"/>
  <c r="C79" i="8"/>
  <c r="B79" i="8"/>
  <c r="N78" i="8"/>
  <c r="M78" i="8"/>
  <c r="K78" i="8"/>
  <c r="I78" i="8"/>
  <c r="G78" i="8"/>
  <c r="E78" i="8"/>
  <c r="C78" i="8"/>
  <c r="B78" i="8"/>
  <c r="N77" i="8"/>
  <c r="M77" i="8"/>
  <c r="K77" i="8"/>
  <c r="I77" i="8"/>
  <c r="G77" i="8"/>
  <c r="E77" i="8"/>
  <c r="C77" i="8"/>
  <c r="B77" i="8"/>
  <c r="N76" i="8"/>
  <c r="M76" i="8"/>
  <c r="K76" i="8"/>
  <c r="I76" i="8"/>
  <c r="G76" i="8"/>
  <c r="E76" i="8"/>
  <c r="C76" i="8"/>
  <c r="B76" i="8"/>
  <c r="N75" i="8"/>
  <c r="M75" i="8"/>
  <c r="K75" i="8"/>
  <c r="I75" i="8"/>
  <c r="G75" i="8"/>
  <c r="E75" i="8"/>
  <c r="C75" i="8"/>
  <c r="B75" i="8"/>
  <c r="J29" i="8" s="1"/>
  <c r="J75" i="8" s="1"/>
  <c r="N74" i="8"/>
  <c r="M74" i="8"/>
  <c r="K74" i="8"/>
  <c r="I74" i="8"/>
  <c r="G74" i="8"/>
  <c r="E74" i="8"/>
  <c r="C74" i="8"/>
  <c r="B74" i="8"/>
  <c r="L28" i="8" s="1"/>
  <c r="L74" i="8" s="1"/>
  <c r="N73" i="8"/>
  <c r="M73" i="8"/>
  <c r="K73" i="8"/>
  <c r="I73" i="8"/>
  <c r="G73" i="8"/>
  <c r="E73" i="8"/>
  <c r="C73" i="8"/>
  <c r="B73" i="8"/>
  <c r="L27" i="8" s="1"/>
  <c r="L73" i="8" s="1"/>
  <c r="N72" i="8"/>
  <c r="M72" i="8"/>
  <c r="K72" i="8"/>
  <c r="I72" i="8"/>
  <c r="G72" i="8"/>
  <c r="E72" i="8"/>
  <c r="C72" i="8"/>
  <c r="B72" i="8"/>
  <c r="N71" i="8"/>
  <c r="M71" i="8"/>
  <c r="K71" i="8"/>
  <c r="I71" i="8"/>
  <c r="G71" i="8"/>
  <c r="E71" i="8"/>
  <c r="C71" i="8"/>
  <c r="B71" i="8"/>
  <c r="J25" i="8" s="1"/>
  <c r="J71" i="8" s="1"/>
  <c r="N70" i="8"/>
  <c r="M70" i="8"/>
  <c r="K70" i="8"/>
  <c r="I70" i="8"/>
  <c r="G70" i="8"/>
  <c r="E70" i="8"/>
  <c r="C70" i="8"/>
  <c r="B70" i="8"/>
  <c r="J24" i="8" s="1"/>
  <c r="J70" i="8" s="1"/>
  <c r="N69" i="8"/>
  <c r="M69" i="8"/>
  <c r="K69" i="8"/>
  <c r="I69" i="8"/>
  <c r="G69" i="8"/>
  <c r="E69" i="8"/>
  <c r="C69" i="8"/>
  <c r="B69" i="8"/>
  <c r="H23" i="8" s="1"/>
  <c r="H69" i="8" s="1"/>
  <c r="N68" i="8"/>
  <c r="M68" i="8"/>
  <c r="K68" i="8"/>
  <c r="I68" i="8"/>
  <c r="G68" i="8"/>
  <c r="E68" i="8"/>
  <c r="C68" i="8"/>
  <c r="B68" i="8"/>
  <c r="N67" i="8"/>
  <c r="M67" i="8"/>
  <c r="K67" i="8"/>
  <c r="I67" i="8"/>
  <c r="G67" i="8"/>
  <c r="E67" i="8"/>
  <c r="C67" i="8"/>
  <c r="B67" i="8"/>
  <c r="J21" i="8" s="1"/>
  <c r="J67" i="8" s="1"/>
  <c r="N66" i="8"/>
  <c r="M66" i="8"/>
  <c r="K66" i="8"/>
  <c r="I66" i="8"/>
  <c r="G66" i="8"/>
  <c r="E66" i="8"/>
  <c r="C66" i="8"/>
  <c r="B66" i="8"/>
  <c r="J20" i="8" s="1"/>
  <c r="J66" i="8" s="1"/>
  <c r="N65" i="8"/>
  <c r="M65" i="8"/>
  <c r="K65" i="8"/>
  <c r="I65" i="8"/>
  <c r="G65" i="8"/>
  <c r="E65" i="8"/>
  <c r="C65" i="8"/>
  <c r="B65" i="8"/>
  <c r="H50" i="8"/>
  <c r="H96" i="8" s="1"/>
  <c r="H36" i="8"/>
  <c r="H82" i="8" s="1"/>
  <c r="H31" i="8"/>
  <c r="H77" i="8" s="1"/>
  <c r="B6" i="8"/>
  <c r="G96" i="7"/>
  <c r="F96" i="7"/>
  <c r="E96" i="7"/>
  <c r="C96" i="7"/>
  <c r="D50" i="7" s="1"/>
  <c r="D96" i="7" s="1"/>
  <c r="B96" i="7"/>
  <c r="G95" i="7"/>
  <c r="F95" i="7"/>
  <c r="E95" i="7"/>
  <c r="C95" i="7"/>
  <c r="B95" i="7"/>
  <c r="G94" i="7"/>
  <c r="F94" i="7"/>
  <c r="E94" i="7"/>
  <c r="C94" i="7"/>
  <c r="B94" i="7"/>
  <c r="G93" i="7"/>
  <c r="F93" i="7"/>
  <c r="E93" i="7"/>
  <c r="C93" i="7"/>
  <c r="B93" i="7"/>
  <c r="G92" i="7"/>
  <c r="F92" i="7"/>
  <c r="E92" i="7"/>
  <c r="C92" i="7"/>
  <c r="B92" i="7"/>
  <c r="G91" i="7"/>
  <c r="F91" i="7"/>
  <c r="E91" i="7"/>
  <c r="C91" i="7"/>
  <c r="B91" i="7"/>
  <c r="G90" i="7"/>
  <c r="F90" i="7"/>
  <c r="E90" i="7"/>
  <c r="C90" i="7"/>
  <c r="B90" i="7"/>
  <c r="G89" i="7"/>
  <c r="F89" i="7"/>
  <c r="E89" i="7"/>
  <c r="C89" i="7"/>
  <c r="B89" i="7"/>
  <c r="G88" i="7"/>
  <c r="F88" i="7"/>
  <c r="E88" i="7"/>
  <c r="C88" i="7"/>
  <c r="B88" i="7"/>
  <c r="G87" i="7"/>
  <c r="F87" i="7"/>
  <c r="E87" i="7"/>
  <c r="C87" i="7"/>
  <c r="B87" i="7"/>
  <c r="G86" i="7"/>
  <c r="F86" i="7"/>
  <c r="E86" i="7"/>
  <c r="C86" i="7"/>
  <c r="B86" i="7"/>
  <c r="G85" i="7"/>
  <c r="F85" i="7"/>
  <c r="E85" i="7"/>
  <c r="C85" i="7"/>
  <c r="B85" i="7"/>
  <c r="G84" i="7"/>
  <c r="F84" i="7"/>
  <c r="E84" i="7"/>
  <c r="C84" i="7"/>
  <c r="B84" i="7"/>
  <c r="G83" i="7"/>
  <c r="F83" i="7"/>
  <c r="E83" i="7"/>
  <c r="C83" i="7"/>
  <c r="B83" i="7"/>
  <c r="G82" i="7"/>
  <c r="F82" i="7"/>
  <c r="E82" i="7"/>
  <c r="C82" i="7"/>
  <c r="B82" i="7"/>
  <c r="G81" i="7"/>
  <c r="F81" i="7"/>
  <c r="E81" i="7"/>
  <c r="C81" i="7"/>
  <c r="B81" i="7"/>
  <c r="G80" i="7"/>
  <c r="F80" i="7"/>
  <c r="E80" i="7"/>
  <c r="C80" i="7"/>
  <c r="B80" i="7"/>
  <c r="D34" i="7" s="1"/>
  <c r="D80" i="7" s="1"/>
  <c r="G79" i="7"/>
  <c r="F79" i="7"/>
  <c r="E79" i="7"/>
  <c r="C79" i="7"/>
  <c r="B79" i="7"/>
  <c r="G78" i="7"/>
  <c r="F78" i="7"/>
  <c r="E78" i="7"/>
  <c r="C78" i="7"/>
  <c r="B78" i="7"/>
  <c r="G77" i="7"/>
  <c r="F77" i="7"/>
  <c r="E77" i="7"/>
  <c r="C77" i="7"/>
  <c r="B77" i="7"/>
  <c r="G76" i="7"/>
  <c r="F76" i="7"/>
  <c r="E76" i="7"/>
  <c r="C76" i="7"/>
  <c r="B76" i="7"/>
  <c r="G75" i="7"/>
  <c r="F75" i="7"/>
  <c r="E75" i="7"/>
  <c r="C75" i="7"/>
  <c r="B75" i="7"/>
  <c r="G74" i="7"/>
  <c r="F74" i="7"/>
  <c r="E74" i="7"/>
  <c r="C74" i="7"/>
  <c r="B74" i="7"/>
  <c r="G73" i="7"/>
  <c r="F73" i="7"/>
  <c r="E73" i="7"/>
  <c r="C73" i="7"/>
  <c r="B73" i="7"/>
  <c r="G72" i="7"/>
  <c r="F72" i="7"/>
  <c r="E72" i="7"/>
  <c r="C72" i="7"/>
  <c r="B72" i="7"/>
  <c r="G71" i="7"/>
  <c r="F71" i="7"/>
  <c r="E71" i="7"/>
  <c r="C71" i="7"/>
  <c r="B71" i="7"/>
  <c r="G70" i="7"/>
  <c r="F70" i="7"/>
  <c r="E70" i="7"/>
  <c r="C70" i="7"/>
  <c r="B70" i="7"/>
  <c r="G69" i="7"/>
  <c r="F69" i="7"/>
  <c r="E69" i="7"/>
  <c r="C69" i="7"/>
  <c r="B69" i="7"/>
  <c r="G68" i="7"/>
  <c r="F68" i="7"/>
  <c r="E68" i="7"/>
  <c r="C68" i="7"/>
  <c r="D22" i="7" s="1"/>
  <c r="D68" i="7" s="1"/>
  <c r="B68" i="7"/>
  <c r="G67" i="7"/>
  <c r="F67" i="7"/>
  <c r="E67" i="7"/>
  <c r="C67" i="7"/>
  <c r="B67" i="7"/>
  <c r="G66" i="7"/>
  <c r="F66" i="7"/>
  <c r="E66" i="7"/>
  <c r="C66" i="7"/>
  <c r="B66" i="7"/>
  <c r="G65" i="7"/>
  <c r="G57" i="7" s="1"/>
  <c r="F65" i="7"/>
  <c r="E65" i="7"/>
  <c r="C65" i="7"/>
  <c r="B65" i="7"/>
  <c r="D19" i="7" s="1"/>
  <c r="D65" i="7" s="1"/>
  <c r="G51" i="7"/>
  <c r="E51" i="7"/>
  <c r="B6" i="7"/>
  <c r="G96" i="6"/>
  <c r="F96" i="6"/>
  <c r="E96" i="6"/>
  <c r="C96" i="6"/>
  <c r="B96" i="6"/>
  <c r="G95" i="6"/>
  <c r="F95" i="6"/>
  <c r="E95" i="6"/>
  <c r="C95" i="6"/>
  <c r="B95" i="6"/>
  <c r="G94" i="6"/>
  <c r="F94" i="6"/>
  <c r="E94" i="6"/>
  <c r="C94" i="6"/>
  <c r="B94" i="6"/>
  <c r="G93" i="6"/>
  <c r="F93" i="6"/>
  <c r="E93" i="6"/>
  <c r="C93" i="6"/>
  <c r="B93" i="6"/>
  <c r="G92" i="6"/>
  <c r="F92" i="6"/>
  <c r="E92" i="6"/>
  <c r="C92" i="6"/>
  <c r="B92" i="6"/>
  <c r="G91" i="6"/>
  <c r="F91" i="6"/>
  <c r="E91" i="6"/>
  <c r="C91" i="6"/>
  <c r="B91" i="6"/>
  <c r="G90" i="6"/>
  <c r="F90" i="6"/>
  <c r="E90" i="6"/>
  <c r="C90" i="6"/>
  <c r="B90" i="6"/>
  <c r="G89" i="6"/>
  <c r="F89" i="6"/>
  <c r="E89" i="6"/>
  <c r="C89" i="6"/>
  <c r="B89" i="6"/>
  <c r="G88" i="6"/>
  <c r="F88" i="6"/>
  <c r="E88" i="6"/>
  <c r="C88" i="6"/>
  <c r="B88" i="6"/>
  <c r="G87" i="6"/>
  <c r="F87" i="6"/>
  <c r="E87" i="6"/>
  <c r="E60" i="6" s="1"/>
  <c r="C87" i="6"/>
  <c r="B87" i="6"/>
  <c r="G86" i="6"/>
  <c r="F86" i="6"/>
  <c r="E86" i="6"/>
  <c r="C86" i="6"/>
  <c r="B86" i="6"/>
  <c r="G85" i="6"/>
  <c r="F85" i="6"/>
  <c r="E85" i="6"/>
  <c r="C85" i="6"/>
  <c r="B85" i="6"/>
  <c r="G84" i="6"/>
  <c r="F84" i="6"/>
  <c r="E84" i="6"/>
  <c r="C84" i="6"/>
  <c r="B84" i="6"/>
  <c r="G83" i="6"/>
  <c r="F83" i="6"/>
  <c r="E83" i="6"/>
  <c r="C83" i="6"/>
  <c r="B83" i="6"/>
  <c r="G82" i="6"/>
  <c r="F82" i="6"/>
  <c r="E82" i="6"/>
  <c r="C82" i="6"/>
  <c r="B82" i="6"/>
  <c r="G81" i="6"/>
  <c r="F81" i="6"/>
  <c r="E81" i="6"/>
  <c r="C81" i="6"/>
  <c r="B81" i="6"/>
  <c r="D35" i="6" s="1"/>
  <c r="D81" i="6" s="1"/>
  <c r="G80" i="6"/>
  <c r="F80" i="6"/>
  <c r="E80" i="6"/>
  <c r="C80" i="6"/>
  <c r="B80" i="6"/>
  <c r="G79" i="6"/>
  <c r="F79" i="6"/>
  <c r="E79" i="6"/>
  <c r="C79" i="6"/>
  <c r="B79" i="6"/>
  <c r="G78" i="6"/>
  <c r="F78" i="6"/>
  <c r="E78" i="6"/>
  <c r="C78" i="6"/>
  <c r="B78" i="6"/>
  <c r="G77" i="6"/>
  <c r="F77" i="6"/>
  <c r="E77" i="6"/>
  <c r="C77" i="6"/>
  <c r="B77" i="6"/>
  <c r="G76" i="6"/>
  <c r="F76" i="6"/>
  <c r="E76" i="6"/>
  <c r="C76" i="6"/>
  <c r="B76" i="6"/>
  <c r="G75" i="6"/>
  <c r="F75" i="6"/>
  <c r="E75" i="6"/>
  <c r="C75" i="6"/>
  <c r="B75" i="6"/>
  <c r="G74" i="6"/>
  <c r="G58" i="6" s="1"/>
  <c r="F74" i="6"/>
  <c r="E74" i="6"/>
  <c r="C74" i="6"/>
  <c r="B74" i="6"/>
  <c r="G73" i="6"/>
  <c r="F73" i="6"/>
  <c r="E73" i="6"/>
  <c r="C73" i="6"/>
  <c r="B73" i="6"/>
  <c r="G72" i="6"/>
  <c r="F72" i="6"/>
  <c r="E72" i="6"/>
  <c r="C72" i="6"/>
  <c r="B72" i="6"/>
  <c r="G71" i="6"/>
  <c r="F71" i="6"/>
  <c r="E71" i="6"/>
  <c r="C71" i="6"/>
  <c r="B71" i="6"/>
  <c r="G70" i="6"/>
  <c r="F70" i="6"/>
  <c r="E70" i="6"/>
  <c r="C70" i="6"/>
  <c r="B70" i="6"/>
  <c r="G69" i="6"/>
  <c r="F69" i="6"/>
  <c r="E69" i="6"/>
  <c r="C69" i="6"/>
  <c r="B69" i="6"/>
  <c r="G68" i="6"/>
  <c r="F68" i="6"/>
  <c r="E68" i="6"/>
  <c r="C68" i="6"/>
  <c r="D22" i="6" s="1"/>
  <c r="D68" i="6" s="1"/>
  <c r="B68" i="6"/>
  <c r="G67" i="6"/>
  <c r="F67" i="6"/>
  <c r="E67" i="6"/>
  <c r="C67" i="6"/>
  <c r="B67" i="6"/>
  <c r="G66" i="6"/>
  <c r="F66" i="6"/>
  <c r="E66" i="6"/>
  <c r="C66" i="6"/>
  <c r="B66" i="6"/>
  <c r="G65" i="6"/>
  <c r="F65" i="6"/>
  <c r="E65" i="6"/>
  <c r="C65" i="6"/>
  <c r="B65" i="6"/>
  <c r="E51" i="6"/>
  <c r="D20" i="6"/>
  <c r="D66" i="6" s="1"/>
  <c r="B6" i="6"/>
  <c r="B96" i="5"/>
  <c r="B95" i="5"/>
  <c r="B94" i="5"/>
  <c r="B93" i="5"/>
  <c r="B92" i="5"/>
  <c r="B91" i="5"/>
  <c r="B60" i="5" s="1"/>
  <c r="B90" i="5"/>
  <c r="B89" i="5"/>
  <c r="B88" i="5"/>
  <c r="B87" i="5"/>
  <c r="B86" i="5"/>
  <c r="B85" i="5"/>
  <c r="B84" i="5"/>
  <c r="B83" i="5"/>
  <c r="B82" i="5"/>
  <c r="B81" i="5"/>
  <c r="B80" i="5"/>
  <c r="B79" i="5"/>
  <c r="B78" i="5"/>
  <c r="B77" i="5"/>
  <c r="B76" i="5"/>
  <c r="B75" i="5"/>
  <c r="B74" i="5"/>
  <c r="B51" i="5" s="1"/>
  <c r="B73" i="5"/>
  <c r="B72" i="5"/>
  <c r="B71" i="5"/>
  <c r="B70" i="5"/>
  <c r="B69" i="5"/>
  <c r="B68" i="5"/>
  <c r="B67" i="5"/>
  <c r="B66" i="5"/>
  <c r="B65" i="5"/>
  <c r="B6" i="5"/>
  <c r="B96" i="4"/>
  <c r="B95" i="4"/>
  <c r="B94" i="4"/>
  <c r="B93" i="4"/>
  <c r="B92" i="4"/>
  <c r="B91" i="4"/>
  <c r="B90" i="4"/>
  <c r="B89" i="4"/>
  <c r="B88" i="4"/>
  <c r="B87" i="4"/>
  <c r="B86" i="4"/>
  <c r="B85" i="4"/>
  <c r="B84" i="4"/>
  <c r="B83" i="4"/>
  <c r="B82" i="4"/>
  <c r="B81" i="4"/>
  <c r="B80" i="4"/>
  <c r="B79" i="4"/>
  <c r="B78" i="4"/>
  <c r="B77" i="4"/>
  <c r="B76" i="4"/>
  <c r="B75" i="4"/>
  <c r="B74" i="4"/>
  <c r="B51" i="4" s="1"/>
  <c r="B73" i="4"/>
  <c r="B72" i="4"/>
  <c r="B71" i="4"/>
  <c r="B70" i="4"/>
  <c r="B69" i="4"/>
  <c r="B68" i="4"/>
  <c r="B67" i="4"/>
  <c r="B66" i="4"/>
  <c r="B65" i="4"/>
  <c r="B6" i="4"/>
  <c r="B96" i="3"/>
  <c r="B95" i="3"/>
  <c r="B94" i="3"/>
  <c r="B93" i="3"/>
  <c r="B92" i="3"/>
  <c r="B91" i="3"/>
  <c r="B90" i="3"/>
  <c r="B89" i="3"/>
  <c r="B88" i="3"/>
  <c r="B87" i="3"/>
  <c r="B86" i="3"/>
  <c r="B85" i="3"/>
  <c r="B84" i="3"/>
  <c r="B83" i="3"/>
  <c r="B82" i="3"/>
  <c r="B81" i="3"/>
  <c r="B80" i="3"/>
  <c r="B79" i="3"/>
  <c r="B78" i="3"/>
  <c r="B77" i="3"/>
  <c r="B76" i="3"/>
  <c r="B75" i="3"/>
  <c r="B74" i="3"/>
  <c r="B51" i="3" s="1"/>
  <c r="B73" i="3"/>
  <c r="B72" i="3"/>
  <c r="B71" i="3"/>
  <c r="B70" i="3"/>
  <c r="B69" i="3"/>
  <c r="B68" i="3"/>
  <c r="B67" i="3"/>
  <c r="B66" i="3"/>
  <c r="B65" i="3"/>
  <c r="B6" i="3"/>
  <c r="H96" i="2"/>
  <c r="G96" i="2"/>
  <c r="E96" i="2"/>
  <c r="F50" i="2" s="1"/>
  <c r="F96" i="2" s="1"/>
  <c r="C96" i="2"/>
  <c r="B96" i="2"/>
  <c r="H95" i="2"/>
  <c r="G95" i="2"/>
  <c r="E95" i="2"/>
  <c r="C95" i="2"/>
  <c r="B95" i="2"/>
  <c r="H94" i="2"/>
  <c r="G94" i="2"/>
  <c r="E94" i="2"/>
  <c r="C94" i="2"/>
  <c r="B94" i="2"/>
  <c r="F48" i="2" s="1"/>
  <c r="F94" i="2" s="1"/>
  <c r="H93" i="2"/>
  <c r="G93" i="2"/>
  <c r="E93" i="2"/>
  <c r="C93" i="2"/>
  <c r="B93" i="2"/>
  <c r="D47" i="2" s="1"/>
  <c r="D93" i="2" s="1"/>
  <c r="H92" i="2"/>
  <c r="G92" i="2"/>
  <c r="E92" i="2"/>
  <c r="C92" i="2"/>
  <c r="B92" i="2"/>
  <c r="H91" i="2"/>
  <c r="G91" i="2"/>
  <c r="E91" i="2"/>
  <c r="C91" i="2"/>
  <c r="B91" i="2"/>
  <c r="H90" i="2"/>
  <c r="G90" i="2"/>
  <c r="E90" i="2"/>
  <c r="C90" i="2"/>
  <c r="B90" i="2"/>
  <c r="D44" i="2" s="1"/>
  <c r="D90" i="2" s="1"/>
  <c r="H89" i="2"/>
  <c r="G89" i="2"/>
  <c r="E89" i="2"/>
  <c r="C89" i="2"/>
  <c r="B89" i="2"/>
  <c r="F43" i="2" s="1"/>
  <c r="F89" i="2" s="1"/>
  <c r="H88" i="2"/>
  <c r="G88" i="2"/>
  <c r="E88" i="2"/>
  <c r="C88" i="2"/>
  <c r="B88" i="2"/>
  <c r="D42" i="2" s="1"/>
  <c r="D88" i="2" s="1"/>
  <c r="H87" i="2"/>
  <c r="G87" i="2"/>
  <c r="E87" i="2"/>
  <c r="C87" i="2"/>
  <c r="B87" i="2"/>
  <c r="D41" i="2" s="1"/>
  <c r="D87" i="2" s="1"/>
  <c r="H86" i="2"/>
  <c r="G86" i="2"/>
  <c r="E86" i="2"/>
  <c r="C86" i="2"/>
  <c r="B86" i="2"/>
  <c r="F40" i="2" s="1"/>
  <c r="F86" i="2" s="1"/>
  <c r="H85" i="2"/>
  <c r="G85" i="2"/>
  <c r="E85" i="2"/>
  <c r="C85" i="2"/>
  <c r="B85" i="2"/>
  <c r="F39" i="2" s="1"/>
  <c r="F85" i="2" s="1"/>
  <c r="H84" i="2"/>
  <c r="G84" i="2"/>
  <c r="E84" i="2"/>
  <c r="C84" i="2"/>
  <c r="B84" i="2"/>
  <c r="H83" i="2"/>
  <c r="G83" i="2"/>
  <c r="E83" i="2"/>
  <c r="F37" i="2" s="1"/>
  <c r="F83" i="2" s="1"/>
  <c r="C83" i="2"/>
  <c r="B83" i="2"/>
  <c r="H82" i="2"/>
  <c r="G82" i="2"/>
  <c r="G59" i="2" s="1"/>
  <c r="E82" i="2"/>
  <c r="C82" i="2"/>
  <c r="B82" i="2"/>
  <c r="H81" i="2"/>
  <c r="G81" i="2"/>
  <c r="E81" i="2"/>
  <c r="C81" i="2"/>
  <c r="B81" i="2"/>
  <c r="F35" i="2" s="1"/>
  <c r="F81" i="2" s="1"/>
  <c r="H80" i="2"/>
  <c r="G80" i="2"/>
  <c r="E80" i="2"/>
  <c r="C80" i="2"/>
  <c r="B80" i="2"/>
  <c r="F34" i="2" s="1"/>
  <c r="F80" i="2" s="1"/>
  <c r="H79" i="2"/>
  <c r="G79" i="2"/>
  <c r="E79" i="2"/>
  <c r="C79" i="2"/>
  <c r="B79" i="2"/>
  <c r="D33" i="2" s="1"/>
  <c r="D79" i="2" s="1"/>
  <c r="H78" i="2"/>
  <c r="G78" i="2"/>
  <c r="E78" i="2"/>
  <c r="C78" i="2"/>
  <c r="B78" i="2"/>
  <c r="F32" i="2" s="1"/>
  <c r="F78" i="2" s="1"/>
  <c r="H77" i="2"/>
  <c r="G77" i="2"/>
  <c r="E77" i="2"/>
  <c r="C77" i="2"/>
  <c r="B77" i="2"/>
  <c r="H76" i="2"/>
  <c r="G76" i="2"/>
  <c r="E76" i="2"/>
  <c r="C76" i="2"/>
  <c r="B76" i="2"/>
  <c r="H75" i="2"/>
  <c r="G75" i="2"/>
  <c r="E75" i="2"/>
  <c r="C75" i="2"/>
  <c r="B75" i="2"/>
  <c r="H74" i="2"/>
  <c r="G74" i="2"/>
  <c r="G58" i="2" s="1"/>
  <c r="E74" i="2"/>
  <c r="C74" i="2"/>
  <c r="B74" i="2"/>
  <c r="D28" i="2" s="1"/>
  <c r="D74" i="2" s="1"/>
  <c r="H73" i="2"/>
  <c r="G73" i="2"/>
  <c r="E73" i="2"/>
  <c r="C73" i="2"/>
  <c r="B73" i="2"/>
  <c r="H72" i="2"/>
  <c r="G72" i="2"/>
  <c r="E72" i="2"/>
  <c r="E58" i="2" s="1"/>
  <c r="C72" i="2"/>
  <c r="B72" i="2"/>
  <c r="H71" i="2"/>
  <c r="G71" i="2"/>
  <c r="E71" i="2"/>
  <c r="C71" i="2"/>
  <c r="B71" i="2"/>
  <c r="D25" i="2" s="1"/>
  <c r="D71" i="2" s="1"/>
  <c r="H70" i="2"/>
  <c r="H54" i="2" s="1"/>
  <c r="G70" i="2"/>
  <c r="E70" i="2"/>
  <c r="F24" i="2" s="1"/>
  <c r="F70" i="2" s="1"/>
  <c r="C70" i="2"/>
  <c r="B70" i="2"/>
  <c r="D24" i="2" s="1"/>
  <c r="D70" i="2" s="1"/>
  <c r="H69" i="2"/>
  <c r="G69" i="2"/>
  <c r="E69" i="2"/>
  <c r="C69" i="2"/>
  <c r="B69" i="2"/>
  <c r="D23" i="2" s="1"/>
  <c r="D69" i="2" s="1"/>
  <c r="H68" i="2"/>
  <c r="G68" i="2"/>
  <c r="E68" i="2"/>
  <c r="C68" i="2"/>
  <c r="B68" i="2"/>
  <c r="H67" i="2"/>
  <c r="G67" i="2"/>
  <c r="E67" i="2"/>
  <c r="C67" i="2"/>
  <c r="B67" i="2"/>
  <c r="D21" i="2" s="1"/>
  <c r="D67" i="2" s="1"/>
  <c r="H66" i="2"/>
  <c r="G66" i="2"/>
  <c r="E66" i="2"/>
  <c r="C66" i="2"/>
  <c r="B66" i="2"/>
  <c r="F20" i="2" s="1"/>
  <c r="F66" i="2" s="1"/>
  <c r="H65" i="2"/>
  <c r="G65" i="2"/>
  <c r="E65" i="2"/>
  <c r="C65" i="2"/>
  <c r="B65" i="2"/>
  <c r="H51" i="2"/>
  <c r="E51" i="2"/>
  <c r="C51" i="2"/>
  <c r="D49" i="2"/>
  <c r="D95" i="2" s="1"/>
  <c r="D38" i="2"/>
  <c r="D84" i="2" s="1"/>
  <c r="D37" i="2"/>
  <c r="D83" i="2" s="1"/>
  <c r="F29" i="2"/>
  <c r="F75" i="2" s="1"/>
  <c r="D29" i="2"/>
  <c r="D75" i="2" s="1"/>
  <c r="B6" i="2"/>
  <c r="W52" i="9" l="1"/>
  <c r="W58" i="9"/>
  <c r="R51" i="9"/>
  <c r="R52" i="9"/>
  <c r="B58" i="15"/>
  <c r="B54" i="13"/>
  <c r="B58" i="11"/>
  <c r="F26" i="8"/>
  <c r="F72" i="8" s="1"/>
  <c r="D33" i="8"/>
  <c r="D79" i="8" s="1"/>
  <c r="J47" i="8"/>
  <c r="J93" i="8" s="1"/>
  <c r="J38" i="8"/>
  <c r="J84" i="8" s="1"/>
  <c r="D31" i="8"/>
  <c r="D77" i="8" s="1"/>
  <c r="F31" i="8"/>
  <c r="F77" i="8" s="1"/>
  <c r="D29" i="8"/>
  <c r="D75" i="8" s="1"/>
  <c r="D28" i="8"/>
  <c r="D74" i="8" s="1"/>
  <c r="J28" i="8"/>
  <c r="J74" i="8" s="1"/>
  <c r="J26" i="8"/>
  <c r="J72" i="8" s="1"/>
  <c r="H22" i="8"/>
  <c r="H68" i="8" s="1"/>
  <c r="F19" i="8"/>
  <c r="F65" i="8" s="1"/>
  <c r="N51" i="8"/>
  <c r="M58" i="8"/>
  <c r="M51" i="8"/>
  <c r="I51" i="8"/>
  <c r="L40" i="8"/>
  <c r="L86" i="8" s="1"/>
  <c r="K51" i="8"/>
  <c r="I58" i="8"/>
  <c r="G51" i="8"/>
  <c r="B54" i="5"/>
  <c r="G51" i="2"/>
  <c r="D46" i="2"/>
  <c r="D92" i="2" s="1"/>
  <c r="F45" i="2"/>
  <c r="F91" i="2" s="1"/>
  <c r="D43" i="2"/>
  <c r="D89" i="2" s="1"/>
  <c r="D40" i="2"/>
  <c r="D86" i="2" s="1"/>
  <c r="F38" i="2"/>
  <c r="F84" i="2" s="1"/>
  <c r="F33" i="2"/>
  <c r="F79" i="2" s="1"/>
  <c r="F27" i="2"/>
  <c r="F73" i="2" s="1"/>
  <c r="F23" i="2"/>
  <c r="F69" i="2" s="1"/>
  <c r="B51" i="2"/>
  <c r="D20" i="2"/>
  <c r="D66" i="2" s="1"/>
  <c r="F19" i="2"/>
  <c r="F65" i="2" s="1"/>
  <c r="D20" i="14"/>
  <c r="D66" i="14" s="1"/>
  <c r="D27" i="14"/>
  <c r="D73" i="14" s="1"/>
  <c r="C54" i="14"/>
  <c r="B58" i="14"/>
  <c r="B51" i="14"/>
  <c r="V60" i="9"/>
  <c r="V51" i="9"/>
  <c r="Q60" i="9"/>
  <c r="Q51" i="9"/>
  <c r="O59" i="9"/>
  <c r="O51" i="9"/>
  <c r="L49" i="9"/>
  <c r="L95" i="9" s="1"/>
  <c r="L37" i="9"/>
  <c r="L83" i="9" s="1"/>
  <c r="K51" i="9"/>
  <c r="K57" i="9"/>
  <c r="J46" i="9"/>
  <c r="J92" i="9" s="1"/>
  <c r="I60" i="9"/>
  <c r="J38" i="9"/>
  <c r="J84" i="9" s="1"/>
  <c r="I51" i="9"/>
  <c r="G58" i="9"/>
  <c r="G52" i="9"/>
  <c r="G51" i="9"/>
  <c r="F22" i="9"/>
  <c r="F68" i="9" s="1"/>
  <c r="E58" i="9"/>
  <c r="C60" i="9"/>
  <c r="D45" i="9"/>
  <c r="D91" i="9" s="1"/>
  <c r="N19" i="9"/>
  <c r="F28" i="9"/>
  <c r="F74" i="9" s="1"/>
  <c r="F25" i="9"/>
  <c r="F71" i="9" s="1"/>
  <c r="J28" i="9"/>
  <c r="J74" i="9" s="1"/>
  <c r="L28" i="9"/>
  <c r="L74" i="9" s="1"/>
  <c r="F33" i="9"/>
  <c r="F79" i="9" s="1"/>
  <c r="H40" i="9"/>
  <c r="H86" i="9" s="1"/>
  <c r="F48" i="9"/>
  <c r="F94" i="9" s="1"/>
  <c r="F44" i="9"/>
  <c r="F90" i="9" s="1"/>
  <c r="N28" i="9"/>
  <c r="N74" i="9" s="1"/>
  <c r="D40" i="9"/>
  <c r="D86" i="9" s="1"/>
  <c r="H44" i="9"/>
  <c r="H90" i="9" s="1"/>
  <c r="D48" i="9"/>
  <c r="D94" i="9" s="1"/>
  <c r="B52" i="9"/>
  <c r="L33" i="9"/>
  <c r="L79" i="9" s="1"/>
  <c r="N40" i="9"/>
  <c r="N86" i="9" s="1"/>
  <c r="J48" i="9"/>
  <c r="J94" i="9" s="1"/>
  <c r="D27" i="9"/>
  <c r="D73" i="9" s="1"/>
  <c r="L44" i="9"/>
  <c r="L90" i="9" s="1"/>
  <c r="L48" i="9"/>
  <c r="L94" i="9" s="1"/>
  <c r="S32" i="9"/>
  <c r="S78" i="9" s="1"/>
  <c r="S58" i="9" s="1"/>
  <c r="N33" i="9"/>
  <c r="N79" i="9" s="1"/>
  <c r="H34" i="9"/>
  <c r="H80" i="9" s="1"/>
  <c r="H38" i="9"/>
  <c r="H84" i="9" s="1"/>
  <c r="P40" i="9"/>
  <c r="P86" i="9" s="1"/>
  <c r="H48" i="9"/>
  <c r="H94" i="9" s="1"/>
  <c r="F27" i="9"/>
  <c r="F73" i="9" s="1"/>
  <c r="P36" i="9"/>
  <c r="P82" i="9" s="1"/>
  <c r="N44" i="9"/>
  <c r="N90" i="9" s="1"/>
  <c r="N48" i="9"/>
  <c r="N94" i="9" s="1"/>
  <c r="F19" i="9"/>
  <c r="F65" i="9" s="1"/>
  <c r="P44" i="9"/>
  <c r="P90" i="9" s="1"/>
  <c r="J27" i="9"/>
  <c r="J73" i="9" s="1"/>
  <c r="P48" i="9"/>
  <c r="P94" i="9" s="1"/>
  <c r="S44" i="9"/>
  <c r="S90" i="9" s="1"/>
  <c r="E60" i="8"/>
  <c r="F39" i="8"/>
  <c r="F85" i="8" s="1"/>
  <c r="F34" i="8"/>
  <c r="F80" i="8" s="1"/>
  <c r="F30" i="8"/>
  <c r="F76" i="8" s="1"/>
  <c r="E51" i="8"/>
  <c r="D44" i="8"/>
  <c r="D90" i="8" s="1"/>
  <c r="D32" i="8"/>
  <c r="D78" i="8" s="1"/>
  <c r="C51" i="8"/>
  <c r="H48" i="8"/>
  <c r="H94" i="8" s="1"/>
  <c r="L47" i="8"/>
  <c r="L93" i="8" s="1"/>
  <c r="D47" i="8"/>
  <c r="D93" i="8" s="1"/>
  <c r="H47" i="8"/>
  <c r="H93" i="8" s="1"/>
  <c r="F45" i="8"/>
  <c r="F91" i="8" s="1"/>
  <c r="D41" i="8"/>
  <c r="D87" i="8" s="1"/>
  <c r="F40" i="8"/>
  <c r="F86" i="8" s="1"/>
  <c r="D40" i="8"/>
  <c r="D86" i="8" s="1"/>
  <c r="H40" i="8"/>
  <c r="H86" i="8" s="1"/>
  <c r="H38" i="8"/>
  <c r="H84" i="8" s="1"/>
  <c r="F36" i="8"/>
  <c r="F82" i="8" s="1"/>
  <c r="L36" i="8"/>
  <c r="L82" i="8" s="1"/>
  <c r="L35" i="8"/>
  <c r="L81" i="8" s="1"/>
  <c r="H30" i="8"/>
  <c r="H76" i="8" s="1"/>
  <c r="L30" i="8"/>
  <c r="L76" i="8" s="1"/>
  <c r="F29" i="8"/>
  <c r="F75" i="8" s="1"/>
  <c r="L29" i="8"/>
  <c r="L75" i="8" s="1"/>
  <c r="H29" i="8"/>
  <c r="H75" i="8" s="1"/>
  <c r="J27" i="8"/>
  <c r="J73" i="8" s="1"/>
  <c r="F27" i="8"/>
  <c r="F73" i="8" s="1"/>
  <c r="D26" i="8"/>
  <c r="D72" i="8" s="1"/>
  <c r="F24" i="8"/>
  <c r="F70" i="8" s="1"/>
  <c r="D24" i="8"/>
  <c r="D70" i="8" s="1"/>
  <c r="H24" i="8"/>
  <c r="H70" i="8" s="1"/>
  <c r="L24" i="8"/>
  <c r="L70" i="8" s="1"/>
  <c r="D23" i="8"/>
  <c r="D69" i="8" s="1"/>
  <c r="L21" i="8"/>
  <c r="L67" i="8" s="1"/>
  <c r="B51" i="8"/>
  <c r="F51" i="7"/>
  <c r="D49" i="7"/>
  <c r="D95" i="7" s="1"/>
  <c r="D47" i="7"/>
  <c r="D93" i="7" s="1"/>
  <c r="D42" i="7"/>
  <c r="D88" i="7" s="1"/>
  <c r="D41" i="7"/>
  <c r="D87" i="7" s="1"/>
  <c r="D39" i="7"/>
  <c r="D85" i="7" s="1"/>
  <c r="D36" i="7"/>
  <c r="D82" i="7" s="1"/>
  <c r="D35" i="7"/>
  <c r="D81" i="7" s="1"/>
  <c r="D33" i="7"/>
  <c r="D79" i="7" s="1"/>
  <c r="D32" i="7"/>
  <c r="D78" i="7" s="1"/>
  <c r="D31" i="7"/>
  <c r="D77" i="7" s="1"/>
  <c r="D30" i="7"/>
  <c r="D76" i="7" s="1"/>
  <c r="D28" i="7"/>
  <c r="D74" i="7" s="1"/>
  <c r="D27" i="7"/>
  <c r="D73" i="7" s="1"/>
  <c r="D24" i="7"/>
  <c r="D70" i="7" s="1"/>
  <c r="D23" i="7"/>
  <c r="D69" i="7" s="1"/>
  <c r="C51" i="7"/>
  <c r="D20" i="7"/>
  <c r="D46" i="7"/>
  <c r="D92" i="7" s="1"/>
  <c r="D43" i="7"/>
  <c r="D89" i="7" s="1"/>
  <c r="D38" i="7"/>
  <c r="D84" i="7" s="1"/>
  <c r="D37" i="7"/>
  <c r="D83" i="7" s="1"/>
  <c r="B59" i="7"/>
  <c r="D25" i="7"/>
  <c r="D71" i="7" s="1"/>
  <c r="D21" i="7"/>
  <c r="D67" i="7" s="1"/>
  <c r="B51" i="7"/>
  <c r="G51" i="6"/>
  <c r="F59" i="6"/>
  <c r="F51" i="6"/>
  <c r="F52" i="6"/>
  <c r="D49" i="6"/>
  <c r="D95" i="6" s="1"/>
  <c r="D48" i="6"/>
  <c r="D94" i="6" s="1"/>
  <c r="D47" i="6"/>
  <c r="D93" i="6" s="1"/>
  <c r="D46" i="6"/>
  <c r="D92" i="6" s="1"/>
  <c r="D44" i="6"/>
  <c r="D90" i="6" s="1"/>
  <c r="D43" i="6"/>
  <c r="D89" i="6" s="1"/>
  <c r="C60" i="6"/>
  <c r="D40" i="6"/>
  <c r="D86" i="6" s="1"/>
  <c r="D38" i="6"/>
  <c r="D84" i="6" s="1"/>
  <c r="D37" i="6"/>
  <c r="D83" i="6" s="1"/>
  <c r="D36" i="6"/>
  <c r="D82" i="6" s="1"/>
  <c r="C59" i="6"/>
  <c r="D34" i="6"/>
  <c r="D80" i="6" s="1"/>
  <c r="D32" i="6"/>
  <c r="D78" i="6" s="1"/>
  <c r="D31" i="6"/>
  <c r="D77" i="6" s="1"/>
  <c r="D30" i="6"/>
  <c r="D76" i="6" s="1"/>
  <c r="D29" i="6"/>
  <c r="D75" i="6" s="1"/>
  <c r="D28" i="6"/>
  <c r="D74" i="6" s="1"/>
  <c r="D23" i="6"/>
  <c r="D69" i="6" s="1"/>
  <c r="C51" i="6"/>
  <c r="D45" i="6"/>
  <c r="D91" i="6" s="1"/>
  <c r="D25" i="6"/>
  <c r="D71" i="6" s="1"/>
  <c r="D24" i="6"/>
  <c r="D70" i="6" s="1"/>
  <c r="B51" i="6"/>
  <c r="H34" i="8"/>
  <c r="H80" i="8" s="1"/>
  <c r="F44" i="8"/>
  <c r="F90" i="8" s="1"/>
  <c r="N37" i="9"/>
  <c r="N83" i="9" s="1"/>
  <c r="B57" i="15"/>
  <c r="D32" i="2"/>
  <c r="D78" i="2" s="1"/>
  <c r="C53" i="6"/>
  <c r="C52" i="2"/>
  <c r="G52" i="2"/>
  <c r="E57" i="6"/>
  <c r="J49" i="8"/>
  <c r="J95" i="8" s="1"/>
  <c r="P35" i="9"/>
  <c r="P81" i="9" s="1"/>
  <c r="U59" i="9"/>
  <c r="U60" i="9"/>
  <c r="B60" i="14"/>
  <c r="B58" i="4"/>
  <c r="F52" i="7"/>
  <c r="E59" i="7"/>
  <c r="J34" i="8"/>
  <c r="J80" i="8" s="1"/>
  <c r="M53" i="8"/>
  <c r="H42" i="9"/>
  <c r="H88" i="9" s="1"/>
  <c r="C57" i="2"/>
  <c r="C55" i="2" s="1"/>
  <c r="F30" i="2"/>
  <c r="F76" i="2" s="1"/>
  <c r="D48" i="2"/>
  <c r="D94" i="2" s="1"/>
  <c r="B58" i="3"/>
  <c r="D19" i="6"/>
  <c r="D65" i="6" s="1"/>
  <c r="E60" i="7"/>
  <c r="F23" i="8"/>
  <c r="F69" i="8" s="1"/>
  <c r="F35" i="8"/>
  <c r="F81" i="8" s="1"/>
  <c r="L44" i="8"/>
  <c r="L90" i="8" s="1"/>
  <c r="D48" i="8"/>
  <c r="D94" i="8" s="1"/>
  <c r="J22" i="8"/>
  <c r="J68" i="8" s="1"/>
  <c r="E58" i="8"/>
  <c r="F32" i="8"/>
  <c r="F78" i="8" s="1"/>
  <c r="S20" i="9"/>
  <c r="S66" i="9" s="1"/>
  <c r="D23" i="9"/>
  <c r="D69" i="9" s="1"/>
  <c r="N24" i="9"/>
  <c r="N70" i="9" s="1"/>
  <c r="D36" i="9"/>
  <c r="D82" i="9" s="1"/>
  <c r="S37" i="9"/>
  <c r="S83" i="9" s="1"/>
  <c r="J42" i="9"/>
  <c r="J88" i="9" s="1"/>
  <c r="L45" i="9"/>
  <c r="L91" i="9" s="1"/>
  <c r="J47" i="9"/>
  <c r="J93" i="9" s="1"/>
  <c r="F49" i="9"/>
  <c r="F95" i="9" s="1"/>
  <c r="B59" i="9"/>
  <c r="J40" i="9"/>
  <c r="J86" i="9" s="1"/>
  <c r="B59" i="11"/>
  <c r="H52" i="2"/>
  <c r="F42" i="9"/>
  <c r="F88" i="9" s="1"/>
  <c r="H44" i="8"/>
  <c r="H90" i="8" s="1"/>
  <c r="P37" i="9"/>
  <c r="P83" i="9" s="1"/>
  <c r="B60" i="10"/>
  <c r="B58" i="12"/>
  <c r="H57" i="2"/>
  <c r="H58" i="2"/>
  <c r="F46" i="2"/>
  <c r="F92" i="2" s="1"/>
  <c r="B60" i="3"/>
  <c r="F53" i="6"/>
  <c r="C58" i="6"/>
  <c r="D42" i="6"/>
  <c r="D88" i="6" s="1"/>
  <c r="F60" i="7"/>
  <c r="D45" i="8"/>
  <c r="D91" i="8" s="1"/>
  <c r="F48" i="8"/>
  <c r="F94" i="8" s="1"/>
  <c r="B57" i="8"/>
  <c r="N57" i="8"/>
  <c r="L22" i="8"/>
  <c r="L68" i="8" s="1"/>
  <c r="F38" i="8"/>
  <c r="F84" i="8" s="1"/>
  <c r="N60" i="8"/>
  <c r="D21" i="9"/>
  <c r="D67" i="9" s="1"/>
  <c r="F23" i="9"/>
  <c r="F69" i="9" s="1"/>
  <c r="P24" i="9"/>
  <c r="P70" i="9" s="1"/>
  <c r="H36" i="9"/>
  <c r="H82" i="9" s="1"/>
  <c r="D38" i="9"/>
  <c r="D84" i="9" s="1"/>
  <c r="L42" i="9"/>
  <c r="L88" i="9" s="1"/>
  <c r="D44" i="9"/>
  <c r="D90" i="9" s="1"/>
  <c r="N45" i="9"/>
  <c r="N91" i="9" s="1"/>
  <c r="L47" i="9"/>
  <c r="L93" i="9" s="1"/>
  <c r="R59" i="9"/>
  <c r="V58" i="9"/>
  <c r="P27" i="9"/>
  <c r="P73" i="9" s="1"/>
  <c r="X58" i="9"/>
  <c r="Q59" i="9"/>
  <c r="B57" i="13"/>
  <c r="C59" i="14"/>
  <c r="G53" i="2"/>
  <c r="H28" i="8"/>
  <c r="H74" i="8" s="1"/>
  <c r="L42" i="8"/>
  <c r="L88" i="8" s="1"/>
  <c r="E53" i="2"/>
  <c r="D44" i="7"/>
  <c r="D90" i="7" s="1"/>
  <c r="H32" i="8"/>
  <c r="H78" i="8" s="1"/>
  <c r="J45" i="8"/>
  <c r="J91" i="8" s="1"/>
  <c r="M60" i="8"/>
  <c r="L21" i="9"/>
  <c r="L67" i="9" s="1"/>
  <c r="F31" i="9"/>
  <c r="F77" i="9" s="1"/>
  <c r="H50" i="9"/>
  <c r="H96" i="9" s="1"/>
  <c r="D50" i="9"/>
  <c r="D96" i="9" s="1"/>
  <c r="C53" i="2"/>
  <c r="C58" i="2"/>
  <c r="F31" i="2"/>
  <c r="F77" i="2" s="1"/>
  <c r="E60" i="2"/>
  <c r="F44" i="2"/>
  <c r="F90" i="2" s="1"/>
  <c r="D27" i="6"/>
  <c r="D73" i="6" s="1"/>
  <c r="C53" i="7"/>
  <c r="B53" i="7"/>
  <c r="L20" i="8"/>
  <c r="L66" i="8" s="1"/>
  <c r="J32" i="8"/>
  <c r="J78" i="8" s="1"/>
  <c r="D37" i="8"/>
  <c r="D83" i="8" s="1"/>
  <c r="D42" i="8"/>
  <c r="D88" i="8" s="1"/>
  <c r="L45" i="8"/>
  <c r="L91" i="8" s="1"/>
  <c r="D20" i="9"/>
  <c r="D66" i="9" s="1"/>
  <c r="N21" i="9"/>
  <c r="N67" i="9" s="1"/>
  <c r="N23" i="9"/>
  <c r="N69" i="9" s="1"/>
  <c r="L25" i="9"/>
  <c r="L71" i="9" s="1"/>
  <c r="L27" i="9"/>
  <c r="L73" i="9" s="1"/>
  <c r="H29" i="9"/>
  <c r="H75" i="9" s="1"/>
  <c r="H31" i="9"/>
  <c r="H77" i="9" s="1"/>
  <c r="D35" i="9"/>
  <c r="D81" i="9" s="1"/>
  <c r="S38" i="9"/>
  <c r="S84" i="9" s="1"/>
  <c r="S59" i="9" s="1"/>
  <c r="F46" i="9"/>
  <c r="F92" i="9" s="1"/>
  <c r="J50" i="9"/>
  <c r="J96" i="9" s="1"/>
  <c r="K53" i="9"/>
  <c r="V59" i="9"/>
  <c r="M60" i="9"/>
  <c r="B54" i="14"/>
  <c r="B52" i="14"/>
  <c r="Q58" i="9"/>
  <c r="D59" i="14"/>
  <c r="D29" i="9"/>
  <c r="D75" i="9" s="1"/>
  <c r="D42" i="9"/>
  <c r="D88" i="9" s="1"/>
  <c r="B59" i="10"/>
  <c r="B58" i="2"/>
  <c r="H59" i="2"/>
  <c r="G54" i="6"/>
  <c r="H20" i="8"/>
  <c r="H66" i="8" s="1"/>
  <c r="E59" i="8"/>
  <c r="F29" i="9"/>
  <c r="F75" i="9" s="1"/>
  <c r="S42" i="9"/>
  <c r="S88" i="9" s="1"/>
  <c r="R58" i="9"/>
  <c r="B54" i="11"/>
  <c r="D28" i="14"/>
  <c r="D74" i="14" s="1"/>
  <c r="D39" i="2"/>
  <c r="D85" i="2" s="1"/>
  <c r="E59" i="2"/>
  <c r="F47" i="2"/>
  <c r="F93" i="2" s="1"/>
  <c r="F49" i="2"/>
  <c r="F95" i="2" s="1"/>
  <c r="D21" i="8"/>
  <c r="D67" i="8" s="1"/>
  <c r="D25" i="8"/>
  <c r="D71" i="8" s="1"/>
  <c r="L32" i="8"/>
  <c r="L78" i="8" s="1"/>
  <c r="F37" i="8"/>
  <c r="F83" i="8" s="1"/>
  <c r="F42" i="8"/>
  <c r="F88" i="8" s="1"/>
  <c r="H46" i="8"/>
  <c r="H92" i="8" s="1"/>
  <c r="L19" i="8"/>
  <c r="L65" i="8" s="1"/>
  <c r="C58" i="8"/>
  <c r="B59" i="8"/>
  <c r="J44" i="8"/>
  <c r="J90" i="8" s="1"/>
  <c r="J48" i="8"/>
  <c r="J94" i="8" s="1"/>
  <c r="F20" i="9"/>
  <c r="F66" i="9" s="1"/>
  <c r="P21" i="9"/>
  <c r="P67" i="9" s="1"/>
  <c r="P23" i="9"/>
  <c r="P69" i="9" s="1"/>
  <c r="N27" i="9"/>
  <c r="N73" i="9" s="1"/>
  <c r="L29" i="9"/>
  <c r="L75" i="9" s="1"/>
  <c r="J31" i="9"/>
  <c r="J77" i="9" s="1"/>
  <c r="F35" i="9"/>
  <c r="F81" i="9" s="1"/>
  <c r="D37" i="9"/>
  <c r="D83" i="9" s="1"/>
  <c r="L46" i="9"/>
  <c r="L92" i="9" s="1"/>
  <c r="L50" i="9"/>
  <c r="L96" i="9" s="1"/>
  <c r="K58" i="9"/>
  <c r="K59" i="9"/>
  <c r="T59" i="9"/>
  <c r="T60" i="9"/>
  <c r="C52" i="14"/>
  <c r="T54" i="9"/>
  <c r="X60" i="9"/>
  <c r="C60" i="8"/>
  <c r="L23" i="9"/>
  <c r="L69" i="9" s="1"/>
  <c r="T58" i="9"/>
  <c r="F22" i="2"/>
  <c r="F68" i="2" s="1"/>
  <c r="F36" i="2"/>
  <c r="F82" i="2" s="1"/>
  <c r="F59" i="2" s="1"/>
  <c r="F58" i="6"/>
  <c r="G60" i="6"/>
  <c r="D50" i="6"/>
  <c r="D96" i="6" s="1"/>
  <c r="D29" i="7"/>
  <c r="D75" i="7" s="1"/>
  <c r="F21" i="8"/>
  <c r="F67" i="8" s="1"/>
  <c r="H37" i="8"/>
  <c r="H83" i="8" s="1"/>
  <c r="H42" i="8"/>
  <c r="H88" i="8" s="1"/>
  <c r="D36" i="8"/>
  <c r="D82" i="8" s="1"/>
  <c r="H20" i="9"/>
  <c r="H66" i="9" s="1"/>
  <c r="S23" i="9"/>
  <c r="S69" i="9" s="1"/>
  <c r="F26" i="9"/>
  <c r="F72" i="9" s="1"/>
  <c r="N29" i="9"/>
  <c r="N75" i="9" s="1"/>
  <c r="L31" i="9"/>
  <c r="L77" i="9" s="1"/>
  <c r="J35" i="9"/>
  <c r="J81" i="9" s="1"/>
  <c r="F37" i="9"/>
  <c r="F83" i="9" s="1"/>
  <c r="N46" i="9"/>
  <c r="N92" i="9" s="1"/>
  <c r="N50" i="9"/>
  <c r="N96" i="9" s="1"/>
  <c r="S25" i="9"/>
  <c r="S71" i="9" s="1"/>
  <c r="H27" i="9"/>
  <c r="H73" i="9" s="1"/>
  <c r="J29" i="9"/>
  <c r="J75" i="9" s="1"/>
  <c r="J30" i="9"/>
  <c r="J76" i="9" s="1"/>
  <c r="B58" i="10"/>
  <c r="B55" i="10" s="1"/>
  <c r="D22" i="14"/>
  <c r="D68" i="14" s="1"/>
  <c r="D54" i="14" s="1"/>
  <c r="B52" i="15"/>
  <c r="B57" i="4"/>
  <c r="B59" i="4"/>
  <c r="D33" i="6"/>
  <c r="D79" i="6" s="1"/>
  <c r="G60" i="2"/>
  <c r="F57" i="6"/>
  <c r="D34" i="8"/>
  <c r="D80" i="8" s="1"/>
  <c r="F22" i="8"/>
  <c r="F68" i="8" s="1"/>
  <c r="G58" i="8"/>
  <c r="J30" i="8"/>
  <c r="J76" i="8" s="1"/>
  <c r="M59" i="8"/>
  <c r="G60" i="8"/>
  <c r="J20" i="9"/>
  <c r="J66" i="9" s="1"/>
  <c r="D24" i="9"/>
  <c r="D70" i="9" s="1"/>
  <c r="H26" i="9"/>
  <c r="H72" i="9" s="1"/>
  <c r="P29" i="9"/>
  <c r="P75" i="9" s="1"/>
  <c r="N31" i="9"/>
  <c r="N77" i="9" s="1"/>
  <c r="L35" i="9"/>
  <c r="L81" i="9" s="1"/>
  <c r="L59" i="9" s="1"/>
  <c r="H37" i="9"/>
  <c r="H83" i="9" s="1"/>
  <c r="P50" i="9"/>
  <c r="P96" i="9" s="1"/>
  <c r="H35" i="9"/>
  <c r="H81" i="9" s="1"/>
  <c r="J37" i="9"/>
  <c r="J83" i="9" s="1"/>
  <c r="R60" i="9"/>
  <c r="K60" i="9"/>
  <c r="B60" i="11"/>
  <c r="B52" i="12"/>
  <c r="B60" i="13"/>
  <c r="B53" i="15"/>
  <c r="N52" i="8"/>
  <c r="D31" i="9"/>
  <c r="D77" i="9" s="1"/>
  <c r="B54" i="2"/>
  <c r="F28" i="2"/>
  <c r="F74" i="2" s="1"/>
  <c r="F25" i="2"/>
  <c r="F71" i="2" s="1"/>
  <c r="B59" i="3"/>
  <c r="B60" i="6"/>
  <c r="G60" i="7"/>
  <c r="H21" i="8"/>
  <c r="H67" i="8" s="1"/>
  <c r="J37" i="8"/>
  <c r="J83" i="8" s="1"/>
  <c r="F41" i="2"/>
  <c r="F87" i="2" s="1"/>
  <c r="D27" i="2"/>
  <c r="D73" i="2" s="1"/>
  <c r="D34" i="2"/>
  <c r="D80" i="2" s="1"/>
  <c r="H60" i="2"/>
  <c r="D45" i="2"/>
  <c r="D91" i="2" s="1"/>
  <c r="D60" i="2" s="1"/>
  <c r="D50" i="2"/>
  <c r="D96" i="2" s="1"/>
  <c r="D41" i="6"/>
  <c r="D87" i="6" s="1"/>
  <c r="D39" i="6"/>
  <c r="D85" i="6" s="1"/>
  <c r="D45" i="7"/>
  <c r="D91" i="7" s="1"/>
  <c r="G53" i="8"/>
  <c r="J24" i="9"/>
  <c r="J70" i="9" s="1"/>
  <c r="W59" i="9"/>
  <c r="J45" i="9"/>
  <c r="J91" i="9" s="1"/>
  <c r="S49" i="9"/>
  <c r="S95" i="9" s="1"/>
  <c r="B58" i="13"/>
  <c r="H55" i="2"/>
  <c r="F42" i="2"/>
  <c r="F88" i="2" s="1"/>
  <c r="H53" i="2"/>
  <c r="E52" i="2"/>
  <c r="D30" i="2"/>
  <c r="D76" i="2" s="1"/>
  <c r="B57" i="5"/>
  <c r="B59" i="6"/>
  <c r="E59" i="6"/>
  <c r="D26" i="2"/>
  <c r="D72" i="2" s="1"/>
  <c r="B58" i="5"/>
  <c r="B59" i="5"/>
  <c r="B52" i="6"/>
  <c r="B54" i="6"/>
  <c r="B57" i="7"/>
  <c r="B54" i="7"/>
  <c r="B52" i="7"/>
  <c r="D26" i="7"/>
  <c r="D72" i="7" s="1"/>
  <c r="B58" i="7"/>
  <c r="F28" i="8"/>
  <c r="F74" i="8" s="1"/>
  <c r="E57" i="2"/>
  <c r="E55" i="2" s="1"/>
  <c r="B60" i="2"/>
  <c r="F21" i="2"/>
  <c r="F67" i="2" s="1"/>
  <c r="C54" i="2"/>
  <c r="B59" i="2"/>
  <c r="B60" i="4"/>
  <c r="B57" i="6"/>
  <c r="G59" i="6"/>
  <c r="E57" i="7"/>
  <c r="E54" i="7"/>
  <c r="D22" i="2"/>
  <c r="D68" i="2" s="1"/>
  <c r="D35" i="2"/>
  <c r="D81" i="2" s="1"/>
  <c r="B53" i="2"/>
  <c r="G54" i="2"/>
  <c r="F26" i="2"/>
  <c r="F72" i="2" s="1"/>
  <c r="C54" i="6"/>
  <c r="E53" i="6"/>
  <c r="E54" i="6"/>
  <c r="E58" i="6"/>
  <c r="C54" i="7"/>
  <c r="C58" i="7"/>
  <c r="C60" i="7"/>
  <c r="G57" i="2"/>
  <c r="G55" i="2" s="1"/>
  <c r="G53" i="6"/>
  <c r="C59" i="2"/>
  <c r="D31" i="2"/>
  <c r="D77" i="2" s="1"/>
  <c r="E54" i="2"/>
  <c r="D19" i="2"/>
  <c r="B52" i="2"/>
  <c r="B57" i="2"/>
  <c r="B54" i="4"/>
  <c r="B52" i="5"/>
  <c r="E52" i="6"/>
  <c r="F54" i="6"/>
  <c r="F60" i="6"/>
  <c r="G58" i="7"/>
  <c r="G55" i="7" s="1"/>
  <c r="C58" i="9"/>
  <c r="D26" i="9"/>
  <c r="D72" i="9" s="1"/>
  <c r="C53" i="9"/>
  <c r="J32" i="9"/>
  <c r="J78" i="9" s="1"/>
  <c r="I58" i="9"/>
  <c r="I54" i="9"/>
  <c r="B52" i="4"/>
  <c r="G57" i="6"/>
  <c r="B60" i="7"/>
  <c r="D40" i="7"/>
  <c r="D86" i="7" s="1"/>
  <c r="D36" i="2"/>
  <c r="D82" i="2" s="1"/>
  <c r="B53" i="5"/>
  <c r="D21" i="6"/>
  <c r="D67" i="6" s="1"/>
  <c r="G52" i="6"/>
  <c r="C52" i="8"/>
  <c r="D20" i="8"/>
  <c r="D66" i="8" s="1"/>
  <c r="C53" i="8"/>
  <c r="B57" i="3"/>
  <c r="B54" i="3"/>
  <c r="B53" i="3"/>
  <c r="B53" i="4"/>
  <c r="C57" i="6"/>
  <c r="F57" i="7"/>
  <c r="C60" i="2"/>
  <c r="B52" i="3"/>
  <c r="B53" i="6"/>
  <c r="D26" i="6"/>
  <c r="D72" i="6" s="1"/>
  <c r="B58" i="6"/>
  <c r="D66" i="7"/>
  <c r="F53" i="7"/>
  <c r="G52" i="7"/>
  <c r="G53" i="7"/>
  <c r="F58" i="7"/>
  <c r="C59" i="7"/>
  <c r="D48" i="7"/>
  <c r="D94" i="7" s="1"/>
  <c r="E52" i="8"/>
  <c r="E57" i="8"/>
  <c r="E54" i="8"/>
  <c r="F20" i="8"/>
  <c r="F66" i="8" s="1"/>
  <c r="E53" i="8"/>
  <c r="K58" i="8"/>
  <c r="L26" i="8"/>
  <c r="L72" i="8" s="1"/>
  <c r="N59" i="8"/>
  <c r="J36" i="8"/>
  <c r="J82" i="8" s="1"/>
  <c r="I59" i="8"/>
  <c r="L39" i="8"/>
  <c r="L85" i="8" s="1"/>
  <c r="J39" i="8"/>
  <c r="J85" i="8" s="1"/>
  <c r="I60" i="8"/>
  <c r="D43" i="8"/>
  <c r="D89" i="8" s="1"/>
  <c r="H43" i="8"/>
  <c r="H89" i="8" s="1"/>
  <c r="V52" i="9"/>
  <c r="V53" i="9"/>
  <c r="V54" i="9"/>
  <c r="E59" i="9"/>
  <c r="F36" i="9"/>
  <c r="F82" i="9" s="1"/>
  <c r="H46" i="9"/>
  <c r="H92" i="9" s="1"/>
  <c r="G60" i="9"/>
  <c r="F59" i="7"/>
  <c r="J19" i="8"/>
  <c r="H26" i="8"/>
  <c r="H72" i="8" s="1"/>
  <c r="J33" i="8"/>
  <c r="J79" i="8" s="1"/>
  <c r="J40" i="8"/>
  <c r="J86" i="8" s="1"/>
  <c r="F43" i="8"/>
  <c r="F89" i="8" s="1"/>
  <c r="K60" i="8"/>
  <c r="I57" i="8"/>
  <c r="N58" i="8"/>
  <c r="L31" i="8"/>
  <c r="L77" i="8" s="1"/>
  <c r="J31" i="8"/>
  <c r="J77" i="8" s="1"/>
  <c r="D35" i="8"/>
  <c r="D81" i="8" s="1"/>
  <c r="H35" i="8"/>
  <c r="H81" i="8" s="1"/>
  <c r="N65" i="9"/>
  <c r="O52" i="9"/>
  <c r="X54" i="9"/>
  <c r="X53" i="9"/>
  <c r="X52" i="9"/>
  <c r="X57" i="9"/>
  <c r="E53" i="7"/>
  <c r="E58" i="7"/>
  <c r="G59" i="7"/>
  <c r="J43" i="8"/>
  <c r="J89" i="8" s="1"/>
  <c r="N54" i="8"/>
  <c r="I54" i="8"/>
  <c r="I52" i="8"/>
  <c r="L23" i="8"/>
  <c r="L69" i="8" s="1"/>
  <c r="J23" i="8"/>
  <c r="J69" i="8" s="1"/>
  <c r="D27" i="8"/>
  <c r="D73" i="8" s="1"/>
  <c r="B58" i="8"/>
  <c r="H27" i="8"/>
  <c r="H73" i="8" s="1"/>
  <c r="C59" i="8"/>
  <c r="V57" i="9"/>
  <c r="B57" i="9"/>
  <c r="J19" i="9"/>
  <c r="H19" i="9"/>
  <c r="B53" i="9"/>
  <c r="B54" i="9"/>
  <c r="S19" i="9"/>
  <c r="P19" i="9"/>
  <c r="L19" i="9"/>
  <c r="D19" i="9"/>
  <c r="F54" i="7"/>
  <c r="L43" i="8"/>
  <c r="L89" i="8" s="1"/>
  <c r="I53" i="8"/>
  <c r="D19" i="8"/>
  <c r="B54" i="8"/>
  <c r="B53" i="8"/>
  <c r="H19" i="8"/>
  <c r="K54" i="8"/>
  <c r="K52" i="8"/>
  <c r="G52" i="8"/>
  <c r="H49" i="8"/>
  <c r="H95" i="8" s="1"/>
  <c r="F49" i="8"/>
  <c r="F95" i="8" s="1"/>
  <c r="D49" i="8"/>
  <c r="D95" i="8" s="1"/>
  <c r="L49" i="8"/>
  <c r="L95" i="8" s="1"/>
  <c r="C52" i="6"/>
  <c r="E52" i="7"/>
  <c r="G54" i="7"/>
  <c r="D39" i="8"/>
  <c r="D85" i="8" s="1"/>
  <c r="B52" i="8"/>
  <c r="K53" i="8"/>
  <c r="C54" i="8"/>
  <c r="M52" i="8"/>
  <c r="M57" i="8"/>
  <c r="M54" i="8"/>
  <c r="G59" i="8"/>
  <c r="B60" i="8"/>
  <c r="H41" i="8"/>
  <c r="H87" i="8" s="1"/>
  <c r="F41" i="8"/>
  <c r="F87" i="8" s="1"/>
  <c r="L41" i="8"/>
  <c r="L87" i="8" s="1"/>
  <c r="Q57" i="9"/>
  <c r="Q52" i="9"/>
  <c r="Q54" i="9"/>
  <c r="Q53" i="9"/>
  <c r="N36" i="9"/>
  <c r="N82" i="9" s="1"/>
  <c r="M59" i="9"/>
  <c r="N53" i="8"/>
  <c r="G57" i="8"/>
  <c r="G54" i="8"/>
  <c r="H33" i="8"/>
  <c r="H79" i="8" s="1"/>
  <c r="F33" i="8"/>
  <c r="F79" i="8" s="1"/>
  <c r="L33" i="8"/>
  <c r="L79" i="8" s="1"/>
  <c r="L50" i="8"/>
  <c r="L96" i="8" s="1"/>
  <c r="J50" i="8"/>
  <c r="J96" i="8" s="1"/>
  <c r="F50" i="8"/>
  <c r="F96" i="8" s="1"/>
  <c r="O58" i="9"/>
  <c r="G53" i="9"/>
  <c r="G54" i="9"/>
  <c r="G57" i="9"/>
  <c r="T52" i="9"/>
  <c r="M58" i="9"/>
  <c r="M53" i="9"/>
  <c r="C57" i="7"/>
  <c r="C52" i="7"/>
  <c r="H39" i="8"/>
  <c r="H85" i="8" s="1"/>
  <c r="H25" i="8"/>
  <c r="H71" i="8" s="1"/>
  <c r="F25" i="8"/>
  <c r="F71" i="8" s="1"/>
  <c r="L25" i="8"/>
  <c r="L71" i="8" s="1"/>
  <c r="L34" i="8"/>
  <c r="L80" i="8" s="1"/>
  <c r="K59" i="8"/>
  <c r="F46" i="8"/>
  <c r="F92" i="8" s="1"/>
  <c r="D46" i="8"/>
  <c r="D92" i="8" s="1"/>
  <c r="J46" i="8"/>
  <c r="J92" i="8" s="1"/>
  <c r="C57" i="8"/>
  <c r="K57" i="8"/>
  <c r="C52" i="9"/>
  <c r="J25" i="9"/>
  <c r="J71" i="9" s="1"/>
  <c r="H25" i="9"/>
  <c r="H71" i="9" s="1"/>
  <c r="P25" i="9"/>
  <c r="P71" i="9" s="1"/>
  <c r="J49" i="9"/>
  <c r="J95" i="9" s="1"/>
  <c r="H49" i="9"/>
  <c r="H95" i="9" s="1"/>
  <c r="D49" i="9"/>
  <c r="D95" i="9" s="1"/>
  <c r="P49" i="9"/>
  <c r="P95" i="9" s="1"/>
  <c r="B54" i="10"/>
  <c r="B53" i="10"/>
  <c r="B55" i="12"/>
  <c r="R57" i="9"/>
  <c r="R53" i="9"/>
  <c r="E52" i="9"/>
  <c r="E54" i="9"/>
  <c r="E57" i="9"/>
  <c r="C59" i="9"/>
  <c r="D34" i="9"/>
  <c r="D80" i="9" s="1"/>
  <c r="T53" i="9"/>
  <c r="J22" i="9"/>
  <c r="J68" i="9" s="1"/>
  <c r="H22" i="9"/>
  <c r="H68" i="9" s="1"/>
  <c r="P22" i="9"/>
  <c r="P68" i="9" s="1"/>
  <c r="J41" i="9"/>
  <c r="J87" i="9" s="1"/>
  <c r="H41" i="9"/>
  <c r="H87" i="9" s="1"/>
  <c r="B60" i="9"/>
  <c r="D41" i="9"/>
  <c r="D87" i="9" s="1"/>
  <c r="P41" i="9"/>
  <c r="P87" i="9" s="1"/>
  <c r="B53" i="11"/>
  <c r="B57" i="11"/>
  <c r="D60" i="14"/>
  <c r="F41" i="9"/>
  <c r="F87" i="9" s="1"/>
  <c r="E53" i="9"/>
  <c r="U52" i="9"/>
  <c r="U54" i="9"/>
  <c r="U57" i="9"/>
  <c r="U55" i="9" s="1"/>
  <c r="D22" i="8"/>
  <c r="D68" i="8" s="1"/>
  <c r="D30" i="8"/>
  <c r="D76" i="8" s="1"/>
  <c r="D38" i="8"/>
  <c r="D84" i="8" s="1"/>
  <c r="D22" i="9"/>
  <c r="D68" i="9" s="1"/>
  <c r="L41" i="9"/>
  <c r="L87" i="9" s="1"/>
  <c r="W53" i="9"/>
  <c r="W54" i="9"/>
  <c r="W57" i="9"/>
  <c r="W55" i="9" s="1"/>
  <c r="K52" i="9"/>
  <c r="J21" i="9"/>
  <c r="J67" i="9" s="1"/>
  <c r="I57" i="9"/>
  <c r="I52" i="9"/>
  <c r="E60" i="9"/>
  <c r="D58" i="14"/>
  <c r="N41" i="9"/>
  <c r="N87" i="9" s="1"/>
  <c r="I53" i="9"/>
  <c r="R54" i="9"/>
  <c r="T57" i="9"/>
  <c r="O60" i="9"/>
  <c r="O53" i="9"/>
  <c r="O54" i="9"/>
  <c r="O57" i="9"/>
  <c r="O55" i="9" s="1"/>
  <c r="M52" i="9"/>
  <c r="M54" i="9"/>
  <c r="M57" i="9"/>
  <c r="J33" i="9"/>
  <c r="J79" i="9" s="1"/>
  <c r="H33" i="9"/>
  <c r="H79" i="9" s="1"/>
  <c r="D33" i="9"/>
  <c r="D79" i="9" s="1"/>
  <c r="P33" i="9"/>
  <c r="P79" i="9" s="1"/>
  <c r="P59" i="9" s="1"/>
  <c r="B52" i="10"/>
  <c r="B52" i="11"/>
  <c r="B54" i="12"/>
  <c r="B53" i="12"/>
  <c r="P30" i="9"/>
  <c r="P76" i="9" s="1"/>
  <c r="P58" i="9" s="1"/>
  <c r="C54" i="9"/>
  <c r="K54" i="9"/>
  <c r="G59" i="9"/>
  <c r="B53" i="14"/>
  <c r="B52" i="13"/>
  <c r="C53" i="14"/>
  <c r="B57" i="14"/>
  <c r="B55" i="14" s="1"/>
  <c r="I59" i="9"/>
  <c r="B53" i="13"/>
  <c r="H30" i="9"/>
  <c r="H76" i="9" s="1"/>
  <c r="B58" i="9"/>
  <c r="C58" i="14"/>
  <c r="C55" i="14" s="1"/>
  <c r="S60" i="9" l="1"/>
  <c r="B55" i="15"/>
  <c r="B55" i="13"/>
  <c r="N55" i="8"/>
  <c r="B55" i="4"/>
  <c r="F60" i="2"/>
  <c r="D59" i="2"/>
  <c r="F58" i="2"/>
  <c r="V55" i="9"/>
  <c r="P60" i="9"/>
  <c r="N60" i="9"/>
  <c r="L58" i="9"/>
  <c r="K55" i="9"/>
  <c r="F58" i="9"/>
  <c r="F59" i="9"/>
  <c r="N59" i="9"/>
  <c r="D60" i="9"/>
  <c r="J59" i="9"/>
  <c r="D58" i="9"/>
  <c r="J58" i="9"/>
  <c r="H60" i="9"/>
  <c r="L60" i="9"/>
  <c r="N58" i="9"/>
  <c r="J60" i="9"/>
  <c r="H59" i="8"/>
  <c r="J58" i="8"/>
  <c r="D59" i="7"/>
  <c r="D58" i="7"/>
  <c r="F55" i="6"/>
  <c r="D60" i="6"/>
  <c r="D59" i="6"/>
  <c r="D58" i="6"/>
  <c r="E55" i="9"/>
  <c r="F53" i="2"/>
  <c r="F60" i="8"/>
  <c r="C55" i="6"/>
  <c r="C55" i="9"/>
  <c r="F58" i="8"/>
  <c r="M55" i="8"/>
  <c r="F60" i="9"/>
  <c r="R55" i="9"/>
  <c r="B55" i="8"/>
  <c r="X55" i="9"/>
  <c r="L58" i="8"/>
  <c r="D60" i="7"/>
  <c r="D58" i="8"/>
  <c r="D52" i="14"/>
  <c r="H58" i="9"/>
  <c r="D53" i="14"/>
  <c r="T55" i="9"/>
  <c r="D57" i="14"/>
  <c r="D55" i="14" s="1"/>
  <c r="D54" i="7"/>
  <c r="B55" i="3"/>
  <c r="G55" i="6"/>
  <c r="D51" i="14"/>
  <c r="D59" i="9"/>
  <c r="H60" i="8"/>
  <c r="E55" i="6"/>
  <c r="D59" i="8"/>
  <c r="Q55" i="9"/>
  <c r="H59" i="9"/>
  <c r="B55" i="11"/>
  <c r="C55" i="7"/>
  <c r="F59" i="8"/>
  <c r="L60" i="8"/>
  <c r="D60" i="8"/>
  <c r="E55" i="8"/>
  <c r="H65" i="9"/>
  <c r="F51" i="9"/>
  <c r="F55" i="7"/>
  <c r="F51" i="8"/>
  <c r="J65" i="9"/>
  <c r="I55" i="8"/>
  <c r="F52" i="9"/>
  <c r="F53" i="9"/>
  <c r="F54" i="9"/>
  <c r="F57" i="9"/>
  <c r="F55" i="9" s="1"/>
  <c r="D51" i="7"/>
  <c r="D52" i="7"/>
  <c r="B55" i="2"/>
  <c r="B55" i="7"/>
  <c r="B55" i="5"/>
  <c r="F52" i="2"/>
  <c r="D57" i="7"/>
  <c r="G55" i="8"/>
  <c r="D65" i="9"/>
  <c r="B55" i="9"/>
  <c r="N51" i="9"/>
  <c r="D53" i="7"/>
  <c r="E55" i="7"/>
  <c r="F51" i="2"/>
  <c r="F54" i="2"/>
  <c r="I55" i="9"/>
  <c r="H65" i="8"/>
  <c r="H51" i="8" s="1"/>
  <c r="L65" i="9"/>
  <c r="N52" i="9"/>
  <c r="N53" i="9"/>
  <c r="N54" i="9"/>
  <c r="N57" i="9"/>
  <c r="L51" i="8"/>
  <c r="D65" i="2"/>
  <c r="D51" i="2" s="1"/>
  <c r="F57" i="2"/>
  <c r="F55" i="2" s="1"/>
  <c r="P65" i="9"/>
  <c r="P51" i="9" s="1"/>
  <c r="J60" i="8"/>
  <c r="L52" i="8"/>
  <c r="L53" i="8"/>
  <c r="L57" i="8"/>
  <c r="L54" i="8"/>
  <c r="B55" i="6"/>
  <c r="S65" i="9"/>
  <c r="J59" i="8"/>
  <c r="M55" i="9"/>
  <c r="C55" i="8"/>
  <c r="L59" i="8"/>
  <c r="D65" i="8"/>
  <c r="D51" i="8" s="1"/>
  <c r="H58" i="8"/>
  <c r="D58" i="2"/>
  <c r="D54" i="6"/>
  <c r="D53" i="6"/>
  <c r="D52" i="6"/>
  <c r="D57" i="6"/>
  <c r="D55" i="6" s="1"/>
  <c r="K55" i="8"/>
  <c r="G55" i="9"/>
  <c r="J65" i="8"/>
  <c r="J51" i="8" s="1"/>
  <c r="F53" i="8"/>
  <c r="F52" i="8"/>
  <c r="F57" i="8"/>
  <c r="F54" i="8"/>
  <c r="D51" i="6"/>
  <c r="N55" i="9" l="1"/>
  <c r="D55" i="7"/>
  <c r="F55" i="8"/>
  <c r="L53" i="9"/>
  <c r="L52" i="9"/>
  <c r="L57" i="9"/>
  <c r="L55" i="9" s="1"/>
  <c r="L54" i="9"/>
  <c r="J57" i="9"/>
  <c r="J55" i="9" s="1"/>
  <c r="J53" i="9"/>
  <c r="J54" i="9"/>
  <c r="J52" i="9"/>
  <c r="D52" i="8"/>
  <c r="D53" i="8"/>
  <c r="D54" i="8"/>
  <c r="D57" i="8"/>
  <c r="D55" i="8" s="1"/>
  <c r="L55" i="8"/>
  <c r="J51" i="9"/>
  <c r="S52" i="9"/>
  <c r="S54" i="9"/>
  <c r="S57" i="9"/>
  <c r="S55" i="9" s="1"/>
  <c r="S53" i="9"/>
  <c r="H54" i="9"/>
  <c r="H53" i="9"/>
  <c r="H52" i="9"/>
  <c r="H57" i="9"/>
  <c r="H55" i="9" s="1"/>
  <c r="L51" i="9"/>
  <c r="H53" i="8"/>
  <c r="H57" i="8"/>
  <c r="H55" i="8" s="1"/>
  <c r="H52" i="8"/>
  <c r="H54" i="8"/>
  <c r="D53" i="9"/>
  <c r="D57" i="9"/>
  <c r="D55" i="9" s="1"/>
  <c r="D52" i="9"/>
  <c r="D54" i="9"/>
  <c r="D51" i="9"/>
  <c r="J54" i="8"/>
  <c r="J53" i="8"/>
  <c r="J57" i="8"/>
  <c r="J55" i="8" s="1"/>
  <c r="J52" i="8"/>
  <c r="H51" i="9"/>
  <c r="D57" i="2"/>
  <c r="D55" i="2" s="1"/>
  <c r="D52" i="2"/>
  <c r="D53" i="2"/>
  <c r="D54" i="2"/>
  <c r="S51" i="9"/>
  <c r="P54" i="9"/>
  <c r="P52" i="9"/>
  <c r="P57" i="9"/>
  <c r="P55" i="9" s="1"/>
  <c r="P53" i="9"/>
</calcChain>
</file>

<file path=xl/sharedStrings.xml><?xml version="1.0" encoding="utf-8"?>
<sst xmlns="http://schemas.openxmlformats.org/spreadsheetml/2006/main" count="1687" uniqueCount="151">
  <si>
    <t>IOWA DEPARTMENT OF NATURAL RESOURCES</t>
  </si>
  <si>
    <t>Form #:</t>
  </si>
  <si>
    <t>2</t>
  </si>
  <si>
    <t>NPDS REPORTING SYSTEM - DISCHARGE MONITORING REPORT</t>
  </si>
  <si>
    <t>FacilityID:</t>
  </si>
  <si>
    <t>FACILITY INFORMATION</t>
  </si>
  <si>
    <t>PermitID:</t>
  </si>
  <si>
    <t>This form is valid 7/1/2025 to 6/30/2030</t>
  </si>
  <si>
    <t>Facility Name:</t>
  </si>
  <si>
    <t>ROQUETTE AMERICA, INC.</t>
  </si>
  <si>
    <t>Permit #:</t>
  </si>
  <si>
    <t>5640101</t>
  </si>
  <si>
    <t>Month/Year:</t>
  </si>
  <si>
    <t>Outfall #(s):</t>
  </si>
  <si>
    <t>001 - BOILER BLOWDOWN AND FLOOR DRAINS</t>
  </si>
  <si>
    <t>005 - STORM WATER ASSOCIATED WITH THE COGENERATION FACILITY AND ADJACENT AREAS ALONG AND TO THE WEST OF B STREET.</t>
  </si>
  <si>
    <t>006 - STORMWATER FROM THE WEST SIDE OF REFINERIES "C" AND "D"</t>
  </si>
  <si>
    <t>007 - STORM WATER FROM THE STARCH PACKAGING AREA AND THE NORTH SIDE OF REFINERY "C".</t>
  </si>
  <si>
    <t>009 - REVERSE OSMOSIS REJECT, BOILER BLOWDOWN, DISCHARGE FROM AN EVAPORATIVE COOLER AT THE COGENERATION FACILITY, ONCE THROUGH COOLING WATER, SEAL WATER, ZEOLITE BACKWASH, STEAM CONDENSATE, ROOF DRAINS, AREA DRAINS, COOLING TOWER BLOWDOWN, AND STORMWATER.</t>
  </si>
  <si>
    <t>011 - COOLING TOWER BLOWDOWN FROM REFINERY "E" AND REFINERY "F", ROOF DRAINS, AREA DRAINS, SURFACE RUNOFF, SEAL WATER, HEAT EXCHANGER DRAIN DISCHARGE, STORMWATER FROM THE AREA SURROUNDING THE FEEDHOUSE ELEVATOR AND REFINERIES "E" AND "F", AND A ONCE PER YEAR DISCHARGE OF DEIONIZED WATER FROM THE FEEDHOUSE HEAT EXCHANGER.</t>
  </si>
  <si>
    <t>012 - WASTEWATER FROM CORN WET MILLING OPERATIONS AND FROM THE PRODUCTION OF SUGAR ALCOHOLS IS TREATED IN AN ACTIVATED SLUDGE PLANT.  DISCHARGE ALSO CONSISTS OF OTHER WASTEWATER PLUS STORMWATER FROM THE AREA ADJACENT TO THE WWTP.</t>
  </si>
  <si>
    <t>013 - STORMWATER FROM SURFACE INLETS IN THE VICINITY OF THE WET FEED BUNKER AND FROM THE AREA PROXIMATE THE WWTP.</t>
  </si>
  <si>
    <t>014 - STORMWATER RUNOFF FROM THE FEED STORAGE AND BARGE FEED LOADOUT AREA.</t>
  </si>
  <si>
    <t>015 - STORMWATER RUNOFF AND GROUNDWATER FROM THE BARGE FEED LOADOUT AREA, FEED STORAGE AREA, AND THE EAST SIDE OF THE COAL PILE.</t>
  </si>
  <si>
    <t>016 - STORMWATER RUNOFF FROM FORMER CITY OF KEOKUK STORM DRAINS.  RUNOFF IS FROM AN AREA BOUNDED BY WILLIAM STREET, C STREET, HWY 136 AND SOAP CREEK.</t>
  </si>
  <si>
    <t>019 - INTERNAL WASTESTREAM OF TREATED PROCESS WASTEWATER CONTAINING NICKEL IN REFINERY F</t>
  </si>
  <si>
    <t>020 - STORMWATER FROM AREA SURROUNDING THE BOILER AND CBF COMPLEX</t>
  </si>
  <si>
    <t>Operator Name:</t>
  </si>
  <si>
    <t>Certification #:</t>
  </si>
  <si>
    <t>Phone #:</t>
  </si>
  <si>
    <t>Lab Cert. #:</t>
  </si>
  <si>
    <t>Comments:</t>
  </si>
  <si>
    <t>*Include Comments longer than 1000 characters in email</t>
  </si>
  <si>
    <t>Signature:</t>
  </si>
  <si>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possibilityof fine and imprisonment for known violations.</t>
  </si>
  <si>
    <t>Permit #</t>
  </si>
  <si>
    <t>Monthly Operation Report
IOWA DEPARTMENT OF NATURAL RESOURCES
NPDS - Operation Permit System
EFFLUENT Data</t>
  </si>
  <si>
    <t>Outfall #:</t>
  </si>
  <si>
    <t>001</t>
  </si>
  <si>
    <t>Mon. Point</t>
  </si>
  <si>
    <t>BOILER BLOWDOWN LINE WITHIN CFB BUILDING</t>
  </si>
  <si>
    <t>Parameter</t>
  </si>
  <si>
    <t xml:space="preserve">FLOW      </t>
  </si>
  <si>
    <t xml:space="preserve">TSS       </t>
  </si>
  <si>
    <t xml:space="preserve">TRC       </t>
  </si>
  <si>
    <t xml:space="preserve">TEMP      </t>
  </si>
  <si>
    <t xml:space="preserve">PH        </t>
  </si>
  <si>
    <t>Units</t>
  </si>
  <si>
    <t>MGD</t>
  </si>
  <si>
    <t>MG/L</t>
  </si>
  <si>
    <t>LBS/DAY</t>
  </si>
  <si>
    <t>FAHRENHEIT</t>
  </si>
  <si>
    <t>STD UNITS</t>
  </si>
  <si>
    <t>Frequency</t>
  </si>
  <si>
    <t>1 EVERY MONTH</t>
  </si>
  <si>
    <t>1 EVERY 3 MONTHS</t>
  </si>
  <si>
    <t>Start Date</t>
  </si>
  <si>
    <t>Permit Duration</t>
  </si>
  <si>
    <t>End Date</t>
  </si>
  <si>
    <t>No Discharge</t>
  </si>
  <si>
    <t>LOQ</t>
  </si>
  <si>
    <t>MonReq ID</t>
  </si>
  <si>
    <t>UnitID</t>
  </si>
  <si>
    <t>Day: 1</t>
  </si>
  <si>
    <t>Total</t>
  </si>
  <si>
    <t>Monthly Avg.</t>
  </si>
  <si>
    <t>Daily Max.</t>
  </si>
  <si>
    <t>Daily Min.</t>
  </si>
  <si>
    <t>Max. 7/Avg.</t>
  </si>
  <si>
    <t>Week 1 Avg.</t>
  </si>
  <si>
    <t>Week 2 Avg.</t>
  </si>
  <si>
    <t>Week 3 Avg.</t>
  </si>
  <si>
    <t>Week 4 Avg.</t>
  </si>
  <si>
    <t>Calc: 1</t>
  </si>
  <si>
    <t>Calc: 2</t>
  </si>
  <si>
    <t>Calc: 3</t>
  </si>
  <si>
    <t>Calc: 4</t>
  </si>
  <si>
    <t>Calc: 5</t>
  </si>
  <si>
    <t>Calc: 6</t>
  </si>
  <si>
    <t>Calc: 7</t>
  </si>
  <si>
    <t>Calc: 8</t>
  </si>
  <si>
    <t>Calc: 9</t>
  </si>
  <si>
    <t>Calc: 10</t>
  </si>
  <si>
    <t>Calc: 11</t>
  </si>
  <si>
    <t>Calc: 12</t>
  </si>
  <si>
    <t>Calc: 13</t>
  </si>
  <si>
    <t>Calc: 14</t>
  </si>
  <si>
    <t>Calc: 15</t>
  </si>
  <si>
    <t>Calc: 16</t>
  </si>
  <si>
    <t>Calc: 17</t>
  </si>
  <si>
    <t>Calc: 18</t>
  </si>
  <si>
    <t>Calc: 19</t>
  </si>
  <si>
    <t>Calc: 20</t>
  </si>
  <si>
    <t>Calc: 21</t>
  </si>
  <si>
    <t>Calc: 22</t>
  </si>
  <si>
    <t>Calc: 23</t>
  </si>
  <si>
    <t>Calc: 24</t>
  </si>
  <si>
    <t>Calc: 25</t>
  </si>
  <si>
    <t>Calc: 26</t>
  </si>
  <si>
    <t>Calc: 27</t>
  </si>
  <si>
    <t>Calc: 28</t>
  </si>
  <si>
    <t>Calc: 29</t>
  </si>
  <si>
    <t>Calc: 30</t>
  </si>
  <si>
    <t>Calc: 31</t>
  </si>
  <si>
    <t>005</t>
  </si>
  <si>
    <t>STORMWATER. SEE STORM WATER REQUIREMENTS.</t>
  </si>
  <si>
    <t xml:space="preserve">STRMWAT   </t>
  </si>
  <si>
    <t>VISUAL</t>
  </si>
  <si>
    <t>QUARTERLY</t>
  </si>
  <si>
    <t>006</t>
  </si>
  <si>
    <t>007</t>
  </si>
  <si>
    <t>009</t>
  </si>
  <si>
    <t>FINAL EFFLUENT AFTER THE FLOW COMBINATION BOX IN THE ROADWAY BETWEEN LOADOUT BLDG 16C AND RAILROAD TRACKS</t>
  </si>
  <si>
    <t>011</t>
  </si>
  <si>
    <t>FINAL EFFLUENT FROM SAMPLER IN ENCLOSURE ON THE SOUTH FACE OF REFINERY E</t>
  </si>
  <si>
    <t>Monthly Operation Report
IOWA DEPARTMENT OF NATURAL RESOURCES
NPDS - Operation Permit System
INFLUENT Data</t>
  </si>
  <si>
    <t>012</t>
  </si>
  <si>
    <t>RAW WASTE</t>
  </si>
  <si>
    <t xml:space="preserve">BOD5      </t>
  </si>
  <si>
    <t xml:space="preserve">TOT-N     </t>
  </si>
  <si>
    <t xml:space="preserve">TKN       </t>
  </si>
  <si>
    <t xml:space="preserve">PHOS      </t>
  </si>
  <si>
    <t>7/WEEK OR DAILY</t>
  </si>
  <si>
    <t>1 TIME PER WEEK</t>
  </si>
  <si>
    <t>1 EVERY 2 WEEKS</t>
  </si>
  <si>
    <t>FINAL EFFLUENT FROM WASTEWATER SAMPLING BUILDING AT WWTP</t>
  </si>
  <si>
    <t>CALCULATION REPORTED ANNUALLY ON DMR</t>
  </si>
  <si>
    <t xml:space="preserve">NH3-N     </t>
  </si>
  <si>
    <t xml:space="preserve">NI        </t>
  </si>
  <si>
    <t xml:space="preserve">PHENOL    </t>
  </si>
  <si>
    <t xml:space="preserve">TOX CER   </t>
  </si>
  <si>
    <t xml:space="preserve">TOX PIM   </t>
  </si>
  <si>
    <t xml:space="preserve">ANN AVG N </t>
  </si>
  <si>
    <t xml:space="preserve">ANN AVG P </t>
  </si>
  <si>
    <t>NO TOXICITY</t>
  </si>
  <si>
    <t>1 EVERY 12 MONTHS</t>
  </si>
  <si>
    <t>013</t>
  </si>
  <si>
    <t>014</t>
  </si>
  <si>
    <t>015</t>
  </si>
  <si>
    <t>STORMWATER. SEE PAGE 39.</t>
  </si>
  <si>
    <t>016</t>
  </si>
  <si>
    <t>019</t>
  </si>
  <si>
    <t>METAL BEARING WASTEWATER FROM REFINERY F AFTER NICKEL TREATMENT BUT PRIOR TO MIXING WITH OTHER WASTESTREAMS</t>
  </si>
  <si>
    <t>020</t>
  </si>
  <si>
    <t>05 - NO DETECTION</t>
  </si>
  <si>
    <t>&lt;0.05</t>
  </si>
  <si>
    <t>Jennie Rose</t>
  </si>
  <si>
    <t>319-524-5757</t>
  </si>
  <si>
    <t>13 - NO DISCHARGE</t>
  </si>
  <si>
    <t xml:space="preserve">Outfall 001: Inactive due to process shutdown for several months. Flow values reflect city water supply measurements. Outfall 019: Missing data due to delay in receiving test results from State Hygienic Lab. Outfall 12: Influent for Phenol - per DMR guidance report "1" for pass or "2" for failure. Lab resluts confirm compliance (Pass). </t>
  </si>
  <si>
    <t>&lt;0.00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</si>
</sst>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0"/>
      <name val="Arial"/>
      <family val="2"/>
    </font>
    <font>
      <b/>
      <sz val="10"/>
      <name val="Arial"/>
      <family val="2"/>
    </font>
    <font>
      <i/>
      <sz val="10"/>
      <name val="Arial"/>
      <family val="2"/>
    </font>
    <font>
      <sz val="8"/>
      <name val="Arial"/>
      <family val="2"/>
    </font>
    <font>
      <b/>
      <sz val="8"/>
      <name val="Arial"/>
      <family val="2"/>
    </font>
  </fonts>
  <fills count="6">
    <fill>
      <patternFill patternType="none"/>
    </fill>
    <fill>
      <patternFill patternType="gray125"/>
    </fill>
    <fill>
      <patternFill patternType="solid">
        <fgColor rgb="FFFFFFFF"/>
      </patternFill>
    </fill>
    <fill>
      <patternFill patternType="solid">
        <fgColor rgb="FFFF0000"/>
      </patternFill>
    </fill>
    <fill>
      <patternFill patternType="solid">
        <fgColor rgb="FFDCDCDC"/>
      </patternFill>
    </fill>
    <fill>
      <patternFill patternType="lightGray">
        <fgColor rgb="FFDCDCDC"/>
      </patternFill>
    </fill>
  </fills>
  <borders count="33">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ck">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ck">
        <color auto="1"/>
      </left>
      <right/>
      <top/>
      <bottom/>
      <diagonal/>
    </border>
    <border>
      <left style="thick">
        <color auto="1"/>
      </left>
      <right/>
      <top/>
      <bottom style="thick">
        <color auto="1"/>
      </bottom>
      <diagonal/>
    </border>
    <border>
      <left style="thick">
        <color auto="1"/>
      </left>
      <right/>
      <top style="thick">
        <color auto="1"/>
      </top>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ck">
        <color auto="1"/>
      </right>
      <top/>
      <bottom style="thin">
        <color auto="1"/>
      </bottom>
      <diagonal/>
    </border>
    <border>
      <left style="thin">
        <color auto="1"/>
      </left>
      <right style="thick">
        <color auto="1"/>
      </right>
      <top style="thin">
        <color auto="1"/>
      </top>
      <bottom style="thick">
        <color auto="1"/>
      </bottom>
      <diagonal/>
    </border>
    <border>
      <left/>
      <right style="thick">
        <color auto="1"/>
      </right>
      <top/>
      <bottom/>
      <diagonal/>
    </border>
    <border>
      <left style="thin">
        <color auto="1"/>
      </left>
      <right style="thick">
        <color auto="1"/>
      </right>
      <top style="thick">
        <color auto="1"/>
      </top>
      <bottom style="thin">
        <color auto="1"/>
      </bottom>
      <diagonal/>
    </border>
  </borders>
  <cellStyleXfs count="1">
    <xf numFmtId="0" fontId="0" fillId="0" borderId="0"/>
  </cellStyleXfs>
  <cellXfs count="91">
    <xf numFmtId="0" fontId="0" fillId="0" borderId="0" xfId="0"/>
    <xf numFmtId="0" fontId="1" fillId="2" borderId="0" xfId="0" applyFont="1" applyFill="1"/>
    <xf numFmtId="0" fontId="1" fillId="2" borderId="4" xfId="0" applyFont="1" applyFill="1" applyBorder="1" applyAlignment="1" applyProtection="1">
      <alignment horizontal="right"/>
      <protection locked="0"/>
    </xf>
    <xf numFmtId="0" fontId="4" fillId="0" borderId="0" xfId="0" applyFont="1"/>
    <xf numFmtId="0" fontId="5" fillId="0" borderId="0" xfId="0" applyFont="1" applyAlignment="1">
      <alignment horizontal="right"/>
    </xf>
    <xf numFmtId="0" fontId="5" fillId="0" borderId="4" xfId="0" applyFont="1" applyBorder="1" applyAlignment="1">
      <alignment horizontal="center"/>
    </xf>
    <xf numFmtId="0" fontId="5" fillId="0" borderId="0" xfId="0" applyFont="1" applyAlignment="1">
      <alignment horizontal="center"/>
    </xf>
    <xf numFmtId="0" fontId="4" fillId="0" borderId="4" xfId="0" applyFont="1" applyBorder="1" applyProtection="1">
      <protection locked="0"/>
    </xf>
    <xf numFmtId="0" fontId="4" fillId="0" borderId="4" xfId="0" applyFont="1" applyBorder="1"/>
    <xf numFmtId="0" fontId="4" fillId="0" borderId="4" xfId="0" applyFont="1" applyBorder="1" applyAlignment="1">
      <alignment horizontal="center"/>
    </xf>
    <xf numFmtId="0" fontId="4" fillId="4" borderId="4" xfId="0" applyFont="1" applyFill="1" applyBorder="1"/>
    <xf numFmtId="0" fontId="4" fillId="5" borderId="4" xfId="0" applyFont="1" applyFill="1" applyBorder="1"/>
    <xf numFmtId="0" fontId="4" fillId="0" borderId="19" xfId="0" applyFont="1" applyBorder="1" applyProtection="1">
      <protection locked="0"/>
    </xf>
    <xf numFmtId="0" fontId="4" fillId="4" borderId="20" xfId="0" applyFont="1" applyFill="1" applyBorder="1"/>
    <xf numFmtId="0" fontId="4" fillId="5" borderId="19" xfId="0" applyFont="1" applyFill="1" applyBorder="1"/>
    <xf numFmtId="0" fontId="4" fillId="4" borderId="19" xfId="0" applyFont="1" applyFill="1" applyBorder="1"/>
    <xf numFmtId="0" fontId="5" fillId="0" borderId="21" xfId="0" applyFont="1" applyBorder="1" applyAlignment="1">
      <alignment horizontal="center"/>
    </xf>
    <xf numFmtId="0" fontId="5" fillId="0" borderId="22" xfId="0" applyFont="1" applyBorder="1" applyAlignment="1">
      <alignment horizontal="center"/>
    </xf>
    <xf numFmtId="0" fontId="5" fillId="0" borderId="23" xfId="0" applyFont="1" applyBorder="1" applyAlignment="1">
      <alignment horizontal="center"/>
    </xf>
    <xf numFmtId="0" fontId="5" fillId="0" borderId="24" xfId="0" applyFont="1" applyBorder="1" applyAlignment="1">
      <alignment horizontal="right"/>
    </xf>
    <xf numFmtId="0" fontId="5" fillId="0" borderId="25" xfId="0" applyFont="1" applyBorder="1" applyAlignment="1">
      <alignment horizontal="right"/>
    </xf>
    <xf numFmtId="0" fontId="4" fillId="0" borderId="24" xfId="0" applyFont="1" applyBorder="1"/>
    <xf numFmtId="0" fontId="5" fillId="0" borderId="26" xfId="0" applyFont="1" applyBorder="1" applyAlignment="1">
      <alignment horizontal="right"/>
    </xf>
    <xf numFmtId="0" fontId="5" fillId="0" borderId="27" xfId="0" applyFont="1" applyBorder="1" applyAlignment="1">
      <alignment horizontal="center"/>
    </xf>
    <xf numFmtId="0" fontId="4" fillId="0" borderId="27" xfId="0" applyFont="1" applyBorder="1" applyAlignment="1">
      <alignment horizontal="center"/>
    </xf>
    <xf numFmtId="0" fontId="4" fillId="0" borderId="30" xfId="0" applyFont="1" applyBorder="1" applyProtection="1">
      <protection locked="0"/>
    </xf>
    <xf numFmtId="0" fontId="5" fillId="0" borderId="31" xfId="0" applyFont="1" applyBorder="1" applyAlignment="1">
      <alignment horizontal="center"/>
    </xf>
    <xf numFmtId="0" fontId="4" fillId="0" borderId="27" xfId="0" applyFont="1" applyBorder="1" applyProtection="1">
      <protection locked="0"/>
    </xf>
    <xf numFmtId="0" fontId="4" fillId="4" borderId="32" xfId="0" applyFont="1" applyFill="1" applyBorder="1"/>
    <xf numFmtId="0" fontId="4" fillId="4" borderId="27" xfId="0" applyFont="1" applyFill="1" applyBorder="1"/>
    <xf numFmtId="0" fontId="4" fillId="0" borderId="31" xfId="0" applyFont="1" applyBorder="1"/>
    <xf numFmtId="0" fontId="4" fillId="4" borderId="30" xfId="0" applyFont="1" applyFill="1" applyBorder="1"/>
    <xf numFmtId="0" fontId="4" fillId="0" borderId="27" xfId="0" applyFont="1" applyBorder="1"/>
    <xf numFmtId="0" fontId="4" fillId="5" borderId="27" xfId="0" applyFont="1" applyFill="1" applyBorder="1"/>
    <xf numFmtId="0" fontId="4" fillId="5" borderId="30" xfId="0" applyFont="1" applyFill="1" applyBorder="1"/>
    <xf numFmtId="0" fontId="4" fillId="0" borderId="0" xfId="0" applyFont="1" applyProtection="1">
      <protection locked="0"/>
    </xf>
    <xf numFmtId="0" fontId="4" fillId="0" borderId="0" xfId="0" applyFont="1" applyAlignment="1">
      <alignment vertical="top" wrapText="1"/>
    </xf>
    <xf numFmtId="0" fontId="5" fillId="0" borderId="7" xfId="0" applyFont="1" applyBorder="1" applyAlignment="1">
      <alignment horizontal="center" wrapText="1"/>
    </xf>
    <xf numFmtId="0" fontId="5" fillId="0" borderId="1" xfId="0" applyFont="1" applyBorder="1" applyAlignment="1">
      <alignment horizontal="center" wrapText="1"/>
    </xf>
    <xf numFmtId="0" fontId="5" fillId="0" borderId="10" xfId="0" applyFont="1" applyBorder="1" applyAlignment="1">
      <alignment horizontal="center" wrapText="1"/>
    </xf>
    <xf numFmtId="0" fontId="5" fillId="0" borderId="8" xfId="0" applyFont="1" applyBorder="1" applyAlignment="1">
      <alignment horizontal="center" wrapText="1"/>
    </xf>
    <xf numFmtId="0" fontId="5" fillId="0" borderId="0" xfId="0" applyFont="1" applyAlignment="1">
      <alignment horizontal="center" wrapText="1"/>
    </xf>
    <xf numFmtId="0" fontId="5" fillId="0" borderId="11" xfId="0" applyFont="1" applyBorder="1" applyAlignment="1">
      <alignment horizontal="center" wrapText="1"/>
    </xf>
    <xf numFmtId="0" fontId="5" fillId="0" borderId="9" xfId="0" applyFont="1" applyBorder="1" applyAlignment="1">
      <alignment horizontal="center" wrapText="1"/>
    </xf>
    <xf numFmtId="0" fontId="5" fillId="0" borderId="6" xfId="0" applyFont="1" applyBorder="1" applyAlignment="1">
      <alignment horizontal="center" wrapText="1"/>
    </xf>
    <xf numFmtId="0" fontId="5" fillId="0" borderId="12" xfId="0" applyFont="1" applyBorder="1" applyAlignment="1">
      <alignment horizontal="center" wrapText="1"/>
    </xf>
    <xf numFmtId="0" fontId="5" fillId="0" borderId="14" xfId="0" applyFont="1" applyBorder="1" applyAlignment="1">
      <alignment horizontal="center" wrapText="1"/>
    </xf>
    <xf numFmtId="0" fontId="5" fillId="0" borderId="13" xfId="0" applyFont="1" applyBorder="1" applyAlignment="1">
      <alignment horizontal="center" wrapText="1"/>
    </xf>
    <xf numFmtId="0" fontId="5" fillId="0" borderId="15" xfId="0" applyFont="1" applyBorder="1" applyAlignment="1">
      <alignment horizontal="center" wrapText="1"/>
    </xf>
    <xf numFmtId="0" fontId="4" fillId="3" borderId="4" xfId="0" applyFont="1" applyFill="1" applyBorder="1" applyProtection="1">
      <protection locked="0"/>
    </xf>
    <xf numFmtId="0" fontId="4" fillId="0" borderId="16" xfId="0" applyFont="1" applyBorder="1" applyAlignment="1">
      <alignment horizontal="center" wrapText="1"/>
    </xf>
    <xf numFmtId="0" fontId="4" fillId="0" borderId="17" xfId="0" applyFont="1" applyBorder="1" applyAlignment="1">
      <alignment horizontal="center" wrapText="1"/>
    </xf>
    <xf numFmtId="0" fontId="5" fillId="0" borderId="18" xfId="0" applyFont="1" applyBorder="1" applyAlignment="1">
      <alignment horizontal="center" wrapText="1"/>
    </xf>
    <xf numFmtId="0" fontId="4" fillId="3" borderId="27" xfId="0" applyFont="1" applyFill="1" applyBorder="1" applyProtection="1">
      <protection locked="0"/>
    </xf>
    <xf numFmtId="0" fontId="4" fillId="0" borderId="28" xfId="0" applyFont="1" applyBorder="1" applyAlignment="1">
      <alignment horizontal="center" wrapText="1"/>
    </xf>
    <xf numFmtId="0" fontId="4" fillId="0" borderId="29" xfId="0" applyFont="1" applyBorder="1" applyAlignment="1">
      <alignment horizontal="center" wrapText="1"/>
    </xf>
    <xf numFmtId="0" fontId="1" fillId="2" borderId="0" xfId="0" applyFont="1" applyFill="1"/>
    <xf numFmtId="0" fontId="2" fillId="2" borderId="0" xfId="0" applyFont="1" applyFill="1" applyAlignment="1">
      <alignment horizontal="right"/>
    </xf>
    <xf numFmtId="0" fontId="2" fillId="2" borderId="0" xfId="0" applyFont="1" applyFill="1" applyAlignment="1">
      <alignment horizontal="center"/>
    </xf>
    <xf numFmtId="0" fontId="1" fillId="2" borderId="0" xfId="0" applyFont="1" applyFill="1" applyAlignment="1">
      <alignment horizontal="center"/>
    </xf>
    <xf numFmtId="0" fontId="1" fillId="2" borderId="7" xfId="0" applyFont="1" applyFill="1" applyBorder="1" applyProtection="1">
      <protection locked="0"/>
    </xf>
    <xf numFmtId="0" fontId="1" fillId="2" borderId="1" xfId="0" applyFont="1" applyFill="1" applyBorder="1" applyProtection="1">
      <protection locked="0"/>
    </xf>
    <xf numFmtId="0" fontId="1" fillId="2" borderId="10" xfId="0" applyFont="1" applyFill="1" applyBorder="1" applyProtection="1">
      <protection locked="0"/>
    </xf>
    <xf numFmtId="0" fontId="1" fillId="2" borderId="8" xfId="0" applyFont="1" applyFill="1" applyBorder="1" applyProtection="1">
      <protection locked="0"/>
    </xf>
    <xf numFmtId="0" fontId="1" fillId="2" borderId="0" xfId="0" applyFont="1" applyFill="1" applyProtection="1">
      <protection locked="0"/>
    </xf>
    <xf numFmtId="0" fontId="1" fillId="2" borderId="11" xfId="0" applyFont="1" applyFill="1" applyBorder="1" applyProtection="1">
      <protection locked="0"/>
    </xf>
    <xf numFmtId="0" fontId="1" fillId="2" borderId="9" xfId="0" applyFont="1" applyFill="1" applyBorder="1" applyProtection="1">
      <protection locked="0"/>
    </xf>
    <xf numFmtId="0" fontId="1" fillId="2" borderId="6" xfId="0" applyFont="1" applyFill="1" applyBorder="1" applyProtection="1">
      <protection locked="0"/>
    </xf>
    <xf numFmtId="0" fontId="1" fillId="2" borderId="12" xfId="0" applyFont="1" applyFill="1" applyBorder="1" applyProtection="1">
      <protection locked="0"/>
    </xf>
    <xf numFmtId="0" fontId="1" fillId="2" borderId="7" xfId="0" applyFont="1" applyFill="1" applyBorder="1" applyAlignment="1">
      <alignment vertical="top" wrapText="1"/>
    </xf>
    <xf numFmtId="0" fontId="1" fillId="2" borderId="1" xfId="0" applyFont="1" applyFill="1" applyBorder="1" applyAlignment="1">
      <alignment vertical="top" wrapText="1"/>
    </xf>
    <xf numFmtId="0" fontId="1" fillId="2" borderId="10" xfId="0" applyFont="1" applyFill="1" applyBorder="1" applyAlignment="1">
      <alignment vertical="top" wrapText="1"/>
    </xf>
    <xf numFmtId="0" fontId="1" fillId="2" borderId="8" xfId="0" applyFont="1" applyFill="1" applyBorder="1" applyAlignment="1">
      <alignment vertical="top" wrapText="1"/>
    </xf>
    <xf numFmtId="0" fontId="1" fillId="2" borderId="0" xfId="0" applyFont="1" applyFill="1" applyAlignment="1">
      <alignment vertical="top" wrapText="1"/>
    </xf>
    <xf numFmtId="0" fontId="1" fillId="2" borderId="11" xfId="0" applyFont="1" applyFill="1" applyBorder="1" applyAlignment="1">
      <alignment vertical="top" wrapText="1"/>
    </xf>
    <xf numFmtId="0" fontId="1" fillId="2" borderId="9" xfId="0" applyFont="1" applyFill="1" applyBorder="1" applyAlignment="1">
      <alignment vertical="top" wrapText="1"/>
    </xf>
    <xf numFmtId="0" fontId="1" fillId="2" borderId="6" xfId="0" applyFont="1" applyFill="1" applyBorder="1" applyAlignment="1">
      <alignment vertical="top" wrapText="1"/>
    </xf>
    <xf numFmtId="0" fontId="1" fillId="2" borderId="12" xfId="0" applyFont="1" applyFill="1" applyBorder="1" applyAlignment="1">
      <alignment vertical="top" wrapText="1"/>
    </xf>
    <xf numFmtId="0" fontId="3" fillId="2" borderId="0" xfId="0" applyFont="1" applyFill="1" applyAlignment="1">
      <alignment horizontal="center"/>
    </xf>
    <xf numFmtId="0" fontId="1" fillId="2" borderId="3" xfId="0" applyFont="1" applyFill="1" applyBorder="1" applyProtection="1">
      <protection locked="0"/>
    </xf>
    <xf numFmtId="0" fontId="1" fillId="2" borderId="2" xfId="0" applyFont="1" applyFill="1" applyBorder="1" applyProtection="1">
      <protection locked="0"/>
    </xf>
    <xf numFmtId="0" fontId="1" fillId="2" borderId="5" xfId="0" applyFont="1" applyFill="1" applyBorder="1" applyProtection="1">
      <protection locked="0"/>
    </xf>
    <xf numFmtId="0" fontId="1" fillId="2" borderId="7" xfId="0" applyFont="1" applyFill="1" applyBorder="1" applyAlignment="1" applyProtection="1">
      <alignment vertical="top" wrapText="1"/>
      <protection locked="0"/>
    </xf>
    <xf numFmtId="0" fontId="1" fillId="2" borderId="1" xfId="0" applyFont="1" applyFill="1" applyBorder="1" applyAlignment="1" applyProtection="1">
      <alignment vertical="top" wrapText="1"/>
      <protection locked="0"/>
    </xf>
    <xf numFmtId="0" fontId="1" fillId="2" borderId="10" xfId="0" applyFont="1" applyFill="1" applyBorder="1" applyAlignment="1" applyProtection="1">
      <alignment vertical="top" wrapText="1"/>
      <protection locked="0"/>
    </xf>
    <xf numFmtId="0" fontId="1" fillId="2" borderId="8" xfId="0" applyFont="1" applyFill="1" applyBorder="1" applyAlignment="1" applyProtection="1">
      <alignment vertical="top" wrapText="1"/>
      <protection locked="0"/>
    </xf>
    <xf numFmtId="0" fontId="1" fillId="2" borderId="0" xfId="0" applyFont="1" applyFill="1" applyAlignment="1" applyProtection="1">
      <alignment vertical="top" wrapText="1"/>
      <protection locked="0"/>
    </xf>
    <xf numFmtId="0" fontId="1" fillId="2" borderId="11" xfId="0" applyFont="1" applyFill="1" applyBorder="1" applyAlignment="1" applyProtection="1">
      <alignment vertical="top" wrapText="1"/>
      <protection locked="0"/>
    </xf>
    <xf numFmtId="0" fontId="1" fillId="2" borderId="9" xfId="0" applyFont="1" applyFill="1" applyBorder="1" applyAlignment="1" applyProtection="1">
      <alignment vertical="top" wrapText="1"/>
      <protection locked="0"/>
    </xf>
    <xf numFmtId="0" fontId="1" fillId="2" borderId="6" xfId="0" applyFont="1" applyFill="1" applyBorder="1" applyAlignment="1" applyProtection="1">
      <alignment vertical="top" wrapText="1"/>
      <protection locked="0"/>
    </xf>
    <xf numFmtId="0" fontId="1" fillId="2" borderId="12" xfId="0" applyFont="1" applyFill="1" applyBorder="1" applyAlignment="1" applyProtection="1">
      <alignment vertical="top" wrapText="1"/>
      <protection locked="0"/>
    </xf>
  </cellXfs>
  <cellStyles count="1">
    <cellStyle name="Normal" xfId="0" builtinId="0"/>
  </cellStyles>
  <dxfs count="28">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
      <fill>
        <patternFill patternType="none"/>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
  <sheetViews>
    <sheetView showGridLines="0" workbookViewId="0">
      <selection activeCell="C9" sqref="C9:K9"/>
    </sheetView>
  </sheetViews>
  <sheetFormatPr defaultRowHeight="15" x14ac:dyDescent="0.25"/>
  <cols>
    <col min="12" max="13" width="9.140625" hidden="1" customWidth="1"/>
  </cols>
  <sheetData>
    <row r="1" spans="1:26" x14ac:dyDescent="0.25">
      <c r="A1" s="1"/>
      <c r="B1" s="58" t="s">
        <v>0</v>
      </c>
      <c r="C1" s="58" t="s">
        <v>0</v>
      </c>
      <c r="D1" s="58" t="s">
        <v>0</v>
      </c>
      <c r="E1" s="58" t="s">
        <v>0</v>
      </c>
      <c r="F1" s="58" t="s">
        <v>0</v>
      </c>
      <c r="G1" s="58" t="s">
        <v>0</v>
      </c>
      <c r="H1" s="58" t="s">
        <v>0</v>
      </c>
      <c r="I1" s="58" t="s">
        <v>0</v>
      </c>
      <c r="J1" s="58" t="s">
        <v>0</v>
      </c>
      <c r="K1" s="58" t="s">
        <v>0</v>
      </c>
      <c r="L1" s="1" t="s">
        <v>1</v>
      </c>
      <c r="M1" s="1" t="s">
        <v>2</v>
      </c>
      <c r="N1" s="1"/>
      <c r="O1" s="1"/>
      <c r="P1" s="1"/>
      <c r="Q1" s="1"/>
      <c r="R1" s="1"/>
      <c r="S1" s="1"/>
      <c r="T1" s="1"/>
      <c r="U1" s="1"/>
      <c r="V1" s="1"/>
      <c r="W1" s="1"/>
      <c r="X1" s="1"/>
      <c r="Y1" s="1"/>
      <c r="Z1" s="1"/>
    </row>
    <row r="2" spans="1:26" x14ac:dyDescent="0.25">
      <c r="A2" s="1"/>
      <c r="B2" s="58" t="s">
        <v>3</v>
      </c>
      <c r="C2" s="58" t="s">
        <v>3</v>
      </c>
      <c r="D2" s="58" t="s">
        <v>3</v>
      </c>
      <c r="E2" s="58" t="s">
        <v>3</v>
      </c>
      <c r="F2" s="58" t="s">
        <v>3</v>
      </c>
      <c r="G2" s="58" t="s">
        <v>3</v>
      </c>
      <c r="H2" s="58" t="s">
        <v>3</v>
      </c>
      <c r="I2" s="58" t="s">
        <v>3</v>
      </c>
      <c r="J2" s="58" t="s">
        <v>3</v>
      </c>
      <c r="K2" s="58" t="s">
        <v>3</v>
      </c>
      <c r="L2" s="1" t="s">
        <v>4</v>
      </c>
      <c r="M2" s="1">
        <v>1138</v>
      </c>
      <c r="N2" s="1"/>
      <c r="O2" s="1"/>
      <c r="P2" s="1"/>
      <c r="Q2" s="1"/>
      <c r="R2" s="1"/>
      <c r="S2" s="1"/>
      <c r="T2" s="1"/>
      <c r="U2" s="1"/>
      <c r="V2" s="1"/>
      <c r="W2" s="1"/>
      <c r="X2" s="1"/>
      <c r="Y2" s="1"/>
      <c r="Z2" s="1"/>
    </row>
    <row r="3" spans="1:26" x14ac:dyDescent="0.25">
      <c r="A3" s="1"/>
      <c r="B3" s="59" t="s">
        <v>5</v>
      </c>
      <c r="C3" s="59" t="s">
        <v>5</v>
      </c>
      <c r="D3" s="59" t="s">
        <v>5</v>
      </c>
      <c r="E3" s="59" t="s">
        <v>5</v>
      </c>
      <c r="F3" s="59" t="s">
        <v>5</v>
      </c>
      <c r="G3" s="59" t="s">
        <v>5</v>
      </c>
      <c r="H3" s="59" t="s">
        <v>5</v>
      </c>
      <c r="I3" s="59" t="s">
        <v>5</v>
      </c>
      <c r="J3" s="59" t="s">
        <v>5</v>
      </c>
      <c r="K3" s="59" t="s">
        <v>5</v>
      </c>
      <c r="L3" s="1" t="s">
        <v>6</v>
      </c>
      <c r="M3" s="1">
        <v>9535</v>
      </c>
      <c r="N3" s="1"/>
      <c r="O3" s="1"/>
      <c r="P3" s="1"/>
      <c r="Q3" s="1"/>
      <c r="R3" s="1"/>
      <c r="S3" s="1"/>
      <c r="T3" s="1"/>
      <c r="U3" s="1"/>
      <c r="V3" s="1"/>
      <c r="W3" s="1"/>
      <c r="X3" s="1"/>
      <c r="Y3" s="1"/>
      <c r="Z3" s="1"/>
    </row>
    <row r="4" spans="1:26" x14ac:dyDescent="0.25">
      <c r="A4" s="1"/>
      <c r="B4" s="1"/>
      <c r="C4" s="1"/>
      <c r="D4" s="1"/>
      <c r="E4" s="1"/>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x14ac:dyDescent="0.25">
      <c r="A7" s="1"/>
      <c r="B7" s="1"/>
      <c r="C7" s="78" t="s">
        <v>7</v>
      </c>
      <c r="D7" s="78" t="s">
        <v>7</v>
      </c>
      <c r="E7" s="78" t="s">
        <v>7</v>
      </c>
      <c r="F7" s="78" t="s">
        <v>7</v>
      </c>
      <c r="G7" s="78" t="s">
        <v>7</v>
      </c>
      <c r="H7" s="78" t="s">
        <v>7</v>
      </c>
      <c r="I7" s="78" t="s">
        <v>7</v>
      </c>
      <c r="J7" s="78" t="s">
        <v>7</v>
      </c>
      <c r="K7" s="78" t="s">
        <v>7</v>
      </c>
      <c r="L7" s="1"/>
      <c r="M7" s="1"/>
      <c r="N7" s="1"/>
      <c r="O7" s="1"/>
      <c r="P7" s="1"/>
      <c r="Q7" s="1"/>
      <c r="R7" s="1"/>
      <c r="S7" s="1"/>
      <c r="T7" s="1"/>
      <c r="U7" s="1"/>
      <c r="V7" s="1"/>
      <c r="W7" s="1"/>
      <c r="X7" s="1"/>
      <c r="Y7" s="1"/>
      <c r="Z7" s="1"/>
    </row>
    <row r="8" spans="1:26" x14ac:dyDescent="0.25">
      <c r="A8" s="1"/>
      <c r="B8" s="1"/>
      <c r="C8" s="1"/>
      <c r="D8" s="1"/>
      <c r="E8" s="1"/>
      <c r="F8" s="1"/>
      <c r="G8" s="1"/>
      <c r="H8" s="1"/>
      <c r="I8" s="1"/>
      <c r="J8" s="1"/>
      <c r="K8" s="1"/>
      <c r="L8" s="1"/>
      <c r="M8" s="1"/>
      <c r="N8" s="1"/>
      <c r="O8" s="1"/>
      <c r="P8" s="1"/>
      <c r="Q8" s="1"/>
      <c r="R8" s="1"/>
      <c r="S8" s="1"/>
      <c r="T8" s="1"/>
      <c r="U8" s="1"/>
      <c r="V8" s="1"/>
      <c r="W8" s="1"/>
      <c r="X8" s="1"/>
      <c r="Y8" s="1"/>
      <c r="Z8" s="1"/>
    </row>
    <row r="9" spans="1:26" x14ac:dyDescent="0.25">
      <c r="A9" s="57" t="s">
        <v>8</v>
      </c>
      <c r="B9" s="57" t="s">
        <v>8</v>
      </c>
      <c r="C9" s="56" t="s">
        <v>9</v>
      </c>
      <c r="D9" s="56" t="s">
        <v>9</v>
      </c>
      <c r="E9" s="56" t="s">
        <v>9</v>
      </c>
      <c r="F9" s="56" t="s">
        <v>9</v>
      </c>
      <c r="G9" s="56" t="s">
        <v>9</v>
      </c>
      <c r="H9" s="56" t="s">
        <v>9</v>
      </c>
      <c r="I9" s="56" t="s">
        <v>9</v>
      </c>
      <c r="J9" s="56" t="s">
        <v>9</v>
      </c>
      <c r="K9" s="56" t="s">
        <v>9</v>
      </c>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57" t="s">
        <v>10</v>
      </c>
      <c r="B11" s="57" t="s">
        <v>10</v>
      </c>
      <c r="C11" s="56" t="s">
        <v>11</v>
      </c>
      <c r="D11" s="56" t="s">
        <v>11</v>
      </c>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57" t="s">
        <v>12</v>
      </c>
      <c r="B13" s="57" t="s">
        <v>12</v>
      </c>
      <c r="C13" s="2">
        <v>12</v>
      </c>
      <c r="D13" s="2">
        <v>2025</v>
      </c>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57" t="s">
        <v>13</v>
      </c>
      <c r="B15" s="57" t="s">
        <v>13</v>
      </c>
      <c r="C15" s="56" t="s">
        <v>14</v>
      </c>
      <c r="D15" s="56"/>
      <c r="E15" s="56"/>
      <c r="F15" s="56"/>
      <c r="G15" s="56"/>
      <c r="H15" s="56"/>
      <c r="I15" s="56"/>
      <c r="J15" s="56"/>
      <c r="K15" s="56"/>
      <c r="L15" s="1"/>
      <c r="M15" s="1"/>
      <c r="N15" s="1"/>
      <c r="O15" s="1"/>
      <c r="P15" s="1"/>
      <c r="Q15" s="1"/>
      <c r="R15" s="1"/>
      <c r="S15" s="1"/>
      <c r="T15" s="1"/>
      <c r="U15" s="1"/>
      <c r="V15" s="1"/>
      <c r="W15" s="1"/>
      <c r="X15" s="1"/>
      <c r="Y15" s="1"/>
      <c r="Z15" s="1"/>
    </row>
    <row r="16" spans="1:26" x14ac:dyDescent="0.25">
      <c r="A16" s="1"/>
      <c r="B16" s="1"/>
      <c r="C16" s="1" t="s">
        <v>15</v>
      </c>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t="s">
        <v>16</v>
      </c>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t="s">
        <v>17</v>
      </c>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t="s">
        <v>18</v>
      </c>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t="s">
        <v>19</v>
      </c>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t="s">
        <v>20</v>
      </c>
      <c r="D21" s="1"/>
      <c r="E21" s="1"/>
      <c r="F21" s="1"/>
      <c r="G21" s="1"/>
      <c r="H21" s="1"/>
      <c r="I21" s="1"/>
      <c r="J21" s="1"/>
      <c r="K21" s="1"/>
      <c r="L21" s="1"/>
      <c r="M21" s="1"/>
      <c r="N21" s="1"/>
      <c r="O21" s="1"/>
      <c r="P21" s="1"/>
      <c r="Q21" s="1"/>
      <c r="R21" s="1"/>
      <c r="S21" s="1"/>
      <c r="T21" s="1"/>
      <c r="U21" s="1"/>
      <c r="V21" s="1"/>
      <c r="W21" s="1"/>
      <c r="X21" s="1"/>
      <c r="Y21" s="1"/>
      <c r="Z21" s="1"/>
    </row>
    <row r="22" spans="1:26" x14ac:dyDescent="0.25">
      <c r="A22" s="1"/>
      <c r="B22" s="1"/>
      <c r="C22" s="1" t="s">
        <v>21</v>
      </c>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t="s">
        <v>22</v>
      </c>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t="s">
        <v>23</v>
      </c>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t="s">
        <v>24</v>
      </c>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t="s">
        <v>25</v>
      </c>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t="s">
        <v>26</v>
      </c>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57" t="s">
        <v>27</v>
      </c>
      <c r="B29" s="57" t="s">
        <v>27</v>
      </c>
      <c r="C29" s="79" t="s">
        <v>146</v>
      </c>
      <c r="D29" s="80"/>
      <c r="E29" s="80"/>
      <c r="F29" s="80"/>
      <c r="G29" s="80"/>
      <c r="H29" s="80"/>
      <c r="I29" s="80"/>
      <c r="J29" s="80"/>
      <c r="K29" s="8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57" t="s">
        <v>28</v>
      </c>
      <c r="B31" s="57" t="s">
        <v>28</v>
      </c>
      <c r="C31" s="79"/>
      <c r="D31" s="80"/>
      <c r="E31" s="80"/>
      <c r="F31" s="80"/>
      <c r="G31" s="80"/>
      <c r="H31" s="80"/>
      <c r="I31" s="80"/>
      <c r="J31" s="80"/>
      <c r="K31" s="8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57" t="s">
        <v>29</v>
      </c>
      <c r="B33" s="57" t="s">
        <v>29</v>
      </c>
      <c r="C33" s="79" t="s">
        <v>147</v>
      </c>
      <c r="D33" s="80"/>
      <c r="E33" s="80"/>
      <c r="F33" s="80"/>
      <c r="G33" s="80"/>
      <c r="H33" s="80"/>
      <c r="I33" s="80"/>
      <c r="J33" s="80"/>
      <c r="K33" s="8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57" t="s">
        <v>30</v>
      </c>
      <c r="B35" s="57" t="s">
        <v>30</v>
      </c>
      <c r="C35" s="79">
        <v>328</v>
      </c>
      <c r="D35" s="80"/>
      <c r="E35" s="80"/>
      <c r="F35" s="80"/>
      <c r="G35" s="80"/>
      <c r="H35" s="80"/>
      <c r="I35" s="80"/>
      <c r="J35" s="80"/>
      <c r="K35" s="8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57" t="s">
        <v>31</v>
      </c>
      <c r="B37" s="57" t="s">
        <v>31</v>
      </c>
      <c r="C37" s="82" t="s">
        <v>149</v>
      </c>
      <c r="D37" s="83"/>
      <c r="E37" s="83"/>
      <c r="F37" s="83"/>
      <c r="G37" s="83"/>
      <c r="H37" s="83"/>
      <c r="I37" s="83"/>
      <c r="J37" s="83"/>
      <c r="K37" s="84"/>
      <c r="L37" s="1"/>
      <c r="M37" s="1"/>
      <c r="N37" s="1"/>
      <c r="O37" s="1"/>
      <c r="P37" s="1"/>
      <c r="Q37" s="1"/>
      <c r="R37" s="1"/>
      <c r="S37" s="1"/>
      <c r="T37" s="1"/>
      <c r="U37" s="1"/>
      <c r="V37" s="1"/>
      <c r="W37" s="1"/>
      <c r="X37" s="1"/>
      <c r="Y37" s="1"/>
      <c r="Z37" s="1"/>
    </row>
    <row r="38" spans="1:26" x14ac:dyDescent="0.25">
      <c r="A38" s="1"/>
      <c r="B38" s="1"/>
      <c r="C38" s="85"/>
      <c r="D38" s="86"/>
      <c r="E38" s="86"/>
      <c r="F38" s="86"/>
      <c r="G38" s="86"/>
      <c r="H38" s="86"/>
      <c r="I38" s="86"/>
      <c r="J38" s="86"/>
      <c r="K38" s="87"/>
      <c r="L38" s="1"/>
      <c r="M38" s="1"/>
      <c r="N38" s="1"/>
      <c r="O38" s="1"/>
      <c r="P38" s="1"/>
      <c r="Q38" s="1"/>
      <c r="R38" s="1"/>
      <c r="S38" s="1"/>
      <c r="T38" s="1"/>
      <c r="U38" s="1"/>
      <c r="V38" s="1"/>
      <c r="W38" s="1"/>
      <c r="X38" s="1"/>
      <c r="Y38" s="1"/>
      <c r="Z38" s="1"/>
    </row>
    <row r="39" spans="1:26" x14ac:dyDescent="0.25">
      <c r="A39" s="1"/>
      <c r="B39" s="1"/>
      <c r="C39" s="85"/>
      <c r="D39" s="86"/>
      <c r="E39" s="86"/>
      <c r="F39" s="86"/>
      <c r="G39" s="86"/>
      <c r="H39" s="86"/>
      <c r="I39" s="86"/>
      <c r="J39" s="86"/>
      <c r="K39" s="87"/>
      <c r="L39" s="1"/>
      <c r="M39" s="1"/>
      <c r="N39" s="1"/>
      <c r="O39" s="1"/>
      <c r="P39" s="1"/>
      <c r="Q39" s="1"/>
      <c r="R39" s="1"/>
      <c r="S39" s="1"/>
      <c r="T39" s="1"/>
      <c r="U39" s="1"/>
      <c r="V39" s="1"/>
      <c r="W39" s="1"/>
      <c r="X39" s="1"/>
      <c r="Y39" s="1"/>
      <c r="Z39" s="1"/>
    </row>
    <row r="40" spans="1:26" x14ac:dyDescent="0.25">
      <c r="A40" s="1"/>
      <c r="B40" s="1"/>
      <c r="C40" s="88"/>
      <c r="D40" s="89"/>
      <c r="E40" s="89"/>
      <c r="F40" s="89"/>
      <c r="G40" s="89"/>
      <c r="H40" s="89"/>
      <c r="I40" s="89"/>
      <c r="J40" s="89"/>
      <c r="K40" s="90"/>
      <c r="L40" s="1"/>
      <c r="M40" s="1"/>
      <c r="N40" s="1"/>
      <c r="O40" s="1"/>
      <c r="P40" s="1"/>
      <c r="Q40" s="1"/>
      <c r="R40" s="1"/>
      <c r="S40" s="1"/>
      <c r="T40" s="1"/>
      <c r="U40" s="1"/>
      <c r="V40" s="1"/>
      <c r="W40" s="1"/>
      <c r="X40" s="1"/>
      <c r="Y40" s="1"/>
      <c r="Z40" s="1"/>
    </row>
    <row r="41" spans="1:26" x14ac:dyDescent="0.25">
      <c r="A41" s="1"/>
      <c r="B41" s="1"/>
      <c r="C41" s="56" t="s">
        <v>32</v>
      </c>
      <c r="D41" s="56" t="s">
        <v>32</v>
      </c>
      <c r="E41" s="56" t="s">
        <v>32</v>
      </c>
      <c r="F41" s="56" t="s">
        <v>32</v>
      </c>
      <c r="G41" s="56" t="s">
        <v>32</v>
      </c>
      <c r="H41" s="56" t="s">
        <v>32</v>
      </c>
      <c r="I41" s="56" t="s">
        <v>32</v>
      </c>
      <c r="J41" s="56" t="s">
        <v>32</v>
      </c>
      <c r="K41" s="56" t="s">
        <v>32</v>
      </c>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57" t="s">
        <v>33</v>
      </c>
      <c r="B44" s="57" t="s">
        <v>33</v>
      </c>
      <c r="C44" s="60"/>
      <c r="D44" s="61"/>
      <c r="E44" s="61"/>
      <c r="F44" s="61"/>
      <c r="G44" s="61"/>
      <c r="H44" s="61"/>
      <c r="I44" s="61"/>
      <c r="J44" s="61"/>
      <c r="K44" s="62"/>
      <c r="L44" s="1"/>
      <c r="M44" s="1"/>
      <c r="N44" s="1"/>
      <c r="O44" s="1"/>
      <c r="P44" s="1"/>
      <c r="Q44" s="1"/>
      <c r="R44" s="1"/>
      <c r="S44" s="1"/>
      <c r="T44" s="1"/>
      <c r="U44" s="1"/>
      <c r="V44" s="1"/>
      <c r="W44" s="1"/>
      <c r="X44" s="1"/>
      <c r="Y44" s="1"/>
      <c r="Z44" s="1"/>
    </row>
    <row r="45" spans="1:26" x14ac:dyDescent="0.25">
      <c r="A45" s="1"/>
      <c r="B45" s="1"/>
      <c r="C45" s="63"/>
      <c r="D45" s="64"/>
      <c r="E45" s="64"/>
      <c r="F45" s="64"/>
      <c r="G45" s="64"/>
      <c r="H45" s="64"/>
      <c r="I45" s="64"/>
      <c r="J45" s="64"/>
      <c r="K45" s="65"/>
      <c r="L45" s="1"/>
      <c r="M45" s="1"/>
      <c r="N45" s="1"/>
      <c r="O45" s="1"/>
      <c r="P45" s="1"/>
      <c r="Q45" s="1"/>
      <c r="R45" s="1"/>
      <c r="S45" s="1"/>
      <c r="T45" s="1"/>
      <c r="U45" s="1"/>
      <c r="V45" s="1"/>
      <c r="W45" s="1"/>
      <c r="X45" s="1"/>
      <c r="Y45" s="1"/>
      <c r="Z45" s="1"/>
    </row>
    <row r="46" spans="1:26" x14ac:dyDescent="0.25">
      <c r="A46" s="1"/>
      <c r="B46" s="1"/>
      <c r="C46" s="63"/>
      <c r="D46" s="64"/>
      <c r="E46" s="64"/>
      <c r="F46" s="64"/>
      <c r="G46" s="64"/>
      <c r="H46" s="64"/>
      <c r="I46" s="64"/>
      <c r="J46" s="64"/>
      <c r="K46" s="65"/>
      <c r="L46" s="1"/>
      <c r="M46" s="1"/>
      <c r="N46" s="1"/>
      <c r="O46" s="1"/>
      <c r="P46" s="1"/>
      <c r="Q46" s="1"/>
      <c r="R46" s="1"/>
      <c r="S46" s="1"/>
      <c r="T46" s="1"/>
      <c r="U46" s="1"/>
      <c r="V46" s="1"/>
      <c r="W46" s="1"/>
      <c r="X46" s="1"/>
      <c r="Y46" s="1"/>
      <c r="Z46" s="1"/>
    </row>
    <row r="47" spans="1:26" x14ac:dyDescent="0.25">
      <c r="A47" s="1"/>
      <c r="B47" s="1"/>
      <c r="C47" s="66"/>
      <c r="D47" s="67"/>
      <c r="E47" s="67"/>
      <c r="F47" s="67"/>
      <c r="G47" s="67"/>
      <c r="H47" s="67"/>
      <c r="I47" s="67"/>
      <c r="J47" s="67"/>
      <c r="K47" s="68"/>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69" t="s">
        <v>34</v>
      </c>
      <c r="D49" s="70" t="s">
        <v>34</v>
      </c>
      <c r="E49" s="70" t="s">
        <v>34</v>
      </c>
      <c r="F49" s="70" t="s">
        <v>34</v>
      </c>
      <c r="G49" s="70" t="s">
        <v>34</v>
      </c>
      <c r="H49" s="70" t="s">
        <v>34</v>
      </c>
      <c r="I49" s="70" t="s">
        <v>34</v>
      </c>
      <c r="J49" s="70" t="s">
        <v>34</v>
      </c>
      <c r="K49" s="71" t="s">
        <v>34</v>
      </c>
      <c r="L49" s="1"/>
      <c r="M49" s="1"/>
      <c r="N49" s="1"/>
      <c r="O49" s="1"/>
      <c r="P49" s="1"/>
      <c r="Q49" s="1"/>
      <c r="R49" s="1"/>
      <c r="S49" s="1"/>
      <c r="T49" s="1"/>
      <c r="U49" s="1"/>
      <c r="V49" s="1"/>
      <c r="W49" s="1"/>
      <c r="X49" s="1"/>
      <c r="Y49" s="1"/>
      <c r="Z49" s="1"/>
    </row>
    <row r="50" spans="1:26" x14ac:dyDescent="0.25">
      <c r="A50" s="1"/>
      <c r="B50" s="1"/>
      <c r="C50" s="72" t="s">
        <v>34</v>
      </c>
      <c r="D50" s="73" t="s">
        <v>34</v>
      </c>
      <c r="E50" s="73" t="s">
        <v>34</v>
      </c>
      <c r="F50" s="73" t="s">
        <v>34</v>
      </c>
      <c r="G50" s="73" t="s">
        <v>34</v>
      </c>
      <c r="H50" s="73" t="s">
        <v>34</v>
      </c>
      <c r="I50" s="73" t="s">
        <v>34</v>
      </c>
      <c r="J50" s="73" t="s">
        <v>34</v>
      </c>
      <c r="K50" s="74" t="s">
        <v>34</v>
      </c>
      <c r="L50" s="1"/>
      <c r="M50" s="1"/>
      <c r="N50" s="1"/>
      <c r="O50" s="1"/>
      <c r="P50" s="1"/>
      <c r="Q50" s="1"/>
      <c r="R50" s="1"/>
      <c r="S50" s="1"/>
      <c r="T50" s="1"/>
      <c r="U50" s="1"/>
      <c r="V50" s="1"/>
      <c r="W50" s="1"/>
      <c r="X50" s="1"/>
      <c r="Y50" s="1"/>
      <c r="Z50" s="1"/>
    </row>
    <row r="51" spans="1:26" x14ac:dyDescent="0.25">
      <c r="A51" s="1"/>
      <c r="B51" s="1"/>
      <c r="C51" s="72" t="s">
        <v>34</v>
      </c>
      <c r="D51" s="73" t="s">
        <v>34</v>
      </c>
      <c r="E51" s="73" t="s">
        <v>34</v>
      </c>
      <c r="F51" s="73" t="s">
        <v>34</v>
      </c>
      <c r="G51" s="73" t="s">
        <v>34</v>
      </c>
      <c r="H51" s="73" t="s">
        <v>34</v>
      </c>
      <c r="I51" s="73" t="s">
        <v>34</v>
      </c>
      <c r="J51" s="73" t="s">
        <v>34</v>
      </c>
      <c r="K51" s="74" t="s">
        <v>34</v>
      </c>
      <c r="L51" s="1"/>
      <c r="M51" s="1"/>
      <c r="N51" s="1"/>
      <c r="O51" s="1"/>
      <c r="P51" s="1"/>
      <c r="Q51" s="1"/>
      <c r="R51" s="1"/>
      <c r="S51" s="1"/>
      <c r="T51" s="1"/>
      <c r="U51" s="1"/>
      <c r="V51" s="1"/>
      <c r="W51" s="1"/>
      <c r="X51" s="1"/>
      <c r="Y51" s="1"/>
      <c r="Z51" s="1"/>
    </row>
    <row r="52" spans="1:26" x14ac:dyDescent="0.25">
      <c r="A52" s="1"/>
      <c r="B52" s="1"/>
      <c r="C52" s="72" t="s">
        <v>34</v>
      </c>
      <c r="D52" s="73" t="s">
        <v>34</v>
      </c>
      <c r="E52" s="73" t="s">
        <v>34</v>
      </c>
      <c r="F52" s="73" t="s">
        <v>34</v>
      </c>
      <c r="G52" s="73" t="s">
        <v>34</v>
      </c>
      <c r="H52" s="73" t="s">
        <v>34</v>
      </c>
      <c r="I52" s="73" t="s">
        <v>34</v>
      </c>
      <c r="J52" s="73" t="s">
        <v>34</v>
      </c>
      <c r="K52" s="74" t="s">
        <v>34</v>
      </c>
      <c r="L52" s="1"/>
      <c r="M52" s="1"/>
      <c r="N52" s="1"/>
      <c r="O52" s="1"/>
      <c r="P52" s="1"/>
      <c r="Q52" s="1"/>
      <c r="R52" s="1"/>
      <c r="S52" s="1"/>
      <c r="T52" s="1"/>
      <c r="U52" s="1"/>
      <c r="V52" s="1"/>
      <c r="W52" s="1"/>
      <c r="X52" s="1"/>
      <c r="Y52" s="1"/>
      <c r="Z52" s="1"/>
    </row>
    <row r="53" spans="1:26" x14ac:dyDescent="0.25">
      <c r="A53" s="1"/>
      <c r="B53" s="1"/>
      <c r="C53" s="72" t="s">
        <v>34</v>
      </c>
      <c r="D53" s="73" t="s">
        <v>34</v>
      </c>
      <c r="E53" s="73" t="s">
        <v>34</v>
      </c>
      <c r="F53" s="73" t="s">
        <v>34</v>
      </c>
      <c r="G53" s="73" t="s">
        <v>34</v>
      </c>
      <c r="H53" s="73" t="s">
        <v>34</v>
      </c>
      <c r="I53" s="73" t="s">
        <v>34</v>
      </c>
      <c r="J53" s="73" t="s">
        <v>34</v>
      </c>
      <c r="K53" s="74" t="s">
        <v>34</v>
      </c>
      <c r="L53" s="1"/>
      <c r="M53" s="1"/>
      <c r="N53" s="1"/>
      <c r="O53" s="1"/>
      <c r="P53" s="1"/>
      <c r="Q53" s="1"/>
      <c r="R53" s="1"/>
      <c r="S53" s="1"/>
      <c r="T53" s="1"/>
      <c r="U53" s="1"/>
      <c r="V53" s="1"/>
      <c r="W53" s="1"/>
      <c r="X53" s="1"/>
      <c r="Y53" s="1"/>
      <c r="Z53" s="1"/>
    </row>
    <row r="54" spans="1:26" x14ac:dyDescent="0.25">
      <c r="A54" s="1"/>
      <c r="B54" s="1"/>
      <c r="C54" s="72" t="s">
        <v>34</v>
      </c>
      <c r="D54" s="73" t="s">
        <v>34</v>
      </c>
      <c r="E54" s="73" t="s">
        <v>34</v>
      </c>
      <c r="F54" s="73" t="s">
        <v>34</v>
      </c>
      <c r="G54" s="73" t="s">
        <v>34</v>
      </c>
      <c r="H54" s="73" t="s">
        <v>34</v>
      </c>
      <c r="I54" s="73" t="s">
        <v>34</v>
      </c>
      <c r="J54" s="73" t="s">
        <v>34</v>
      </c>
      <c r="K54" s="74" t="s">
        <v>34</v>
      </c>
      <c r="L54" s="1"/>
      <c r="M54" s="1"/>
      <c r="N54" s="1"/>
      <c r="O54" s="1"/>
      <c r="P54" s="1"/>
      <c r="Q54" s="1"/>
      <c r="R54" s="1"/>
      <c r="S54" s="1"/>
      <c r="T54" s="1"/>
      <c r="U54" s="1"/>
      <c r="V54" s="1"/>
      <c r="W54" s="1"/>
      <c r="X54" s="1"/>
      <c r="Y54" s="1"/>
      <c r="Z54" s="1"/>
    </row>
    <row r="55" spans="1:26" x14ac:dyDescent="0.25">
      <c r="A55" s="1"/>
      <c r="B55" s="1"/>
      <c r="C55" s="72" t="s">
        <v>34</v>
      </c>
      <c r="D55" s="73" t="s">
        <v>34</v>
      </c>
      <c r="E55" s="73" t="s">
        <v>34</v>
      </c>
      <c r="F55" s="73" t="s">
        <v>34</v>
      </c>
      <c r="G55" s="73" t="s">
        <v>34</v>
      </c>
      <c r="H55" s="73" t="s">
        <v>34</v>
      </c>
      <c r="I55" s="73" t="s">
        <v>34</v>
      </c>
      <c r="J55" s="73" t="s">
        <v>34</v>
      </c>
      <c r="K55" s="74" t="s">
        <v>34</v>
      </c>
      <c r="L55" s="1"/>
      <c r="M55" s="1"/>
      <c r="N55" s="1"/>
      <c r="O55" s="1"/>
      <c r="P55" s="1"/>
      <c r="Q55" s="1"/>
      <c r="R55" s="1"/>
      <c r="S55" s="1"/>
      <c r="T55" s="1"/>
      <c r="U55" s="1"/>
      <c r="V55" s="1"/>
      <c r="W55" s="1"/>
      <c r="X55" s="1"/>
      <c r="Y55" s="1"/>
      <c r="Z55" s="1"/>
    </row>
    <row r="56" spans="1:26" x14ac:dyDescent="0.25">
      <c r="A56" s="1"/>
      <c r="B56" s="1"/>
      <c r="C56" s="72" t="s">
        <v>34</v>
      </c>
      <c r="D56" s="73" t="s">
        <v>34</v>
      </c>
      <c r="E56" s="73" t="s">
        <v>34</v>
      </c>
      <c r="F56" s="73" t="s">
        <v>34</v>
      </c>
      <c r="G56" s="73" t="s">
        <v>34</v>
      </c>
      <c r="H56" s="73" t="s">
        <v>34</v>
      </c>
      <c r="I56" s="73" t="s">
        <v>34</v>
      </c>
      <c r="J56" s="73" t="s">
        <v>34</v>
      </c>
      <c r="K56" s="74" t="s">
        <v>34</v>
      </c>
      <c r="L56" s="1"/>
      <c r="M56" s="1"/>
      <c r="N56" s="1"/>
      <c r="O56" s="1"/>
      <c r="P56" s="1"/>
      <c r="Q56" s="1"/>
      <c r="R56" s="1"/>
      <c r="S56" s="1"/>
      <c r="T56" s="1"/>
      <c r="U56" s="1"/>
      <c r="V56" s="1"/>
      <c r="W56" s="1"/>
      <c r="X56" s="1"/>
      <c r="Y56" s="1"/>
      <c r="Z56" s="1"/>
    </row>
    <row r="57" spans="1:26" x14ac:dyDescent="0.25">
      <c r="A57" s="1"/>
      <c r="B57" s="1"/>
      <c r="C57" s="72" t="s">
        <v>34</v>
      </c>
      <c r="D57" s="73" t="s">
        <v>34</v>
      </c>
      <c r="E57" s="73" t="s">
        <v>34</v>
      </c>
      <c r="F57" s="73" t="s">
        <v>34</v>
      </c>
      <c r="G57" s="73" t="s">
        <v>34</v>
      </c>
      <c r="H57" s="73" t="s">
        <v>34</v>
      </c>
      <c r="I57" s="73" t="s">
        <v>34</v>
      </c>
      <c r="J57" s="73" t="s">
        <v>34</v>
      </c>
      <c r="K57" s="74" t="s">
        <v>34</v>
      </c>
      <c r="L57" s="1"/>
      <c r="M57" s="1"/>
      <c r="N57" s="1"/>
      <c r="O57" s="1"/>
      <c r="P57" s="1"/>
      <c r="Q57" s="1"/>
      <c r="R57" s="1"/>
      <c r="S57" s="1"/>
      <c r="T57" s="1"/>
      <c r="U57" s="1"/>
      <c r="V57" s="1"/>
      <c r="W57" s="1"/>
      <c r="X57" s="1"/>
      <c r="Y57" s="1"/>
      <c r="Z57" s="1"/>
    </row>
    <row r="58" spans="1:26" x14ac:dyDescent="0.25">
      <c r="A58" s="1"/>
      <c r="B58" s="1"/>
      <c r="C58" s="75" t="s">
        <v>34</v>
      </c>
      <c r="D58" s="76" t="s">
        <v>34</v>
      </c>
      <c r="E58" s="76" t="s">
        <v>34</v>
      </c>
      <c r="F58" s="76" t="s">
        <v>34</v>
      </c>
      <c r="G58" s="76" t="s">
        <v>34</v>
      </c>
      <c r="H58" s="76" t="s">
        <v>34</v>
      </c>
      <c r="I58" s="76" t="s">
        <v>34</v>
      </c>
      <c r="J58" s="76" t="s">
        <v>34</v>
      </c>
      <c r="K58" s="77" t="s">
        <v>34</v>
      </c>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sheetProtection password="FF4A" sheet="1"/>
  <mergeCells count="25">
    <mergeCell ref="A44:B44"/>
    <mergeCell ref="C44:K47"/>
    <mergeCell ref="C49:K58"/>
    <mergeCell ref="C7:K7"/>
    <mergeCell ref="A35:B35"/>
    <mergeCell ref="C35:K35"/>
    <mergeCell ref="A37:B37"/>
    <mergeCell ref="C37:K40"/>
    <mergeCell ref="C41:K41"/>
    <mergeCell ref="A29:B29"/>
    <mergeCell ref="C29:K29"/>
    <mergeCell ref="A31:B31"/>
    <mergeCell ref="C31:K31"/>
    <mergeCell ref="A33:B33"/>
    <mergeCell ref="C33:K33"/>
    <mergeCell ref="A11:B11"/>
    <mergeCell ref="C11:D11"/>
    <mergeCell ref="A13:B13"/>
    <mergeCell ref="A15:B15"/>
    <mergeCell ref="C15:K15"/>
    <mergeCell ref="B1:K1"/>
    <mergeCell ref="B2:K2"/>
    <mergeCell ref="B3:K3"/>
    <mergeCell ref="A9:B9"/>
    <mergeCell ref="C9:K9"/>
  </mergeCells>
  <dataValidations count="2">
    <dataValidation type="list" sqref="C13" xr:uid="{00000000-0002-0000-0000-000000000000}">
      <formula1>"1,2,3,4,5,6,7,8,9,10,11,12"</formula1>
    </dataValidation>
    <dataValidation type="list" sqref="D13" xr:uid="{00000000-0002-0000-0000-000001000000}">
      <formula1>"2025,2026,2027,2028,2029,2030,2031,2032,2033,2034"</formula1>
    </dataValidation>
  </dataValidations>
  <pageMargins left="0.5" right="0.5" top="0.5" bottom="0.5" header="0.315" footer="0.315"/>
  <headerFooter>
    <oddHeader>&amp;C&amp;"Aptos"&amp;12&amp;K000000 ROQUETTE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96"/>
  <sheetViews>
    <sheetView showGridLines="0" tabSelected="1" workbookViewId="0">
      <pane xSplit="1" ySplit="16" topLeftCell="B19" activePane="bottomRight" state="frozen"/>
      <selection pane="topRight" activeCell="B1" sqref="B1"/>
      <selection pane="bottomLeft" activeCell="A17" sqref="A17"/>
      <selection pane="bottomRight" activeCell="D38" sqref="D38"/>
    </sheetView>
  </sheetViews>
  <sheetFormatPr defaultColWidth="9.140625" defaultRowHeight="11.25" x14ac:dyDescent="0.2"/>
  <cols>
    <col min="1" max="1" width="11.85546875" style="3" customWidth="1"/>
    <col min="2" max="2" width="14" style="3" customWidth="1"/>
    <col min="3" max="4" width="16.42578125" style="3" customWidth="1"/>
    <col min="5" max="8" width="14" style="3" customWidth="1"/>
    <col min="9" max="9" width="9.140625" style="3" customWidth="1"/>
    <col min="10" max="16384" width="9.140625" style="3"/>
  </cols>
  <sheetData>
    <row r="1" spans="1:8" x14ac:dyDescent="0.2">
      <c r="A1" s="4" t="s">
        <v>35</v>
      </c>
      <c r="B1" s="3" t="s">
        <v>11</v>
      </c>
      <c r="E1" s="37" t="s">
        <v>36</v>
      </c>
      <c r="F1" s="38" t="s">
        <v>36</v>
      </c>
      <c r="G1" s="39" t="s">
        <v>36</v>
      </c>
    </row>
    <row r="2" spans="1:8" x14ac:dyDescent="0.2">
      <c r="A2" s="4" t="s">
        <v>8</v>
      </c>
      <c r="B2" s="36" t="s">
        <v>9</v>
      </c>
      <c r="C2" s="36" t="s">
        <v>9</v>
      </c>
      <c r="D2" s="36" t="s">
        <v>9</v>
      </c>
      <c r="E2" s="40" t="s">
        <v>36</v>
      </c>
      <c r="F2" s="41" t="s">
        <v>36</v>
      </c>
      <c r="G2" s="42" t="s">
        <v>36</v>
      </c>
    </row>
    <row r="3" spans="1:8" x14ac:dyDescent="0.2">
      <c r="B3" s="36" t="s">
        <v>9</v>
      </c>
      <c r="C3" s="36" t="s">
        <v>9</v>
      </c>
      <c r="D3" s="36" t="s">
        <v>9</v>
      </c>
      <c r="E3" s="40" t="s">
        <v>36</v>
      </c>
      <c r="F3" s="41" t="s">
        <v>36</v>
      </c>
      <c r="G3" s="42" t="s">
        <v>36</v>
      </c>
    </row>
    <row r="4" spans="1:8" x14ac:dyDescent="0.2">
      <c r="E4" s="43" t="s">
        <v>36</v>
      </c>
      <c r="F4" s="44" t="s">
        <v>36</v>
      </c>
      <c r="G4" s="45" t="s">
        <v>36</v>
      </c>
    </row>
    <row r="5" spans="1:8" x14ac:dyDescent="0.2">
      <c r="A5" s="4" t="s">
        <v>37</v>
      </c>
      <c r="B5" s="3" t="s">
        <v>38</v>
      </c>
    </row>
    <row r="6" spans="1:8" x14ac:dyDescent="0.2">
      <c r="A6" s="4" t="s">
        <v>12</v>
      </c>
      <c r="B6" s="3" t="str">
        <f>Cover!C13 &amp; "-" &amp; Cover!D13</f>
        <v>12-2025</v>
      </c>
    </row>
    <row r="7" spans="1:8" hidden="1" x14ac:dyDescent="0.2"/>
    <row r="8" spans="1:8" hidden="1" x14ac:dyDescent="0.2"/>
    <row r="9" spans="1:8" ht="25.15" customHeight="1" x14ac:dyDescent="0.2">
      <c r="A9" s="16" t="s">
        <v>39</v>
      </c>
      <c r="B9" s="46" t="s">
        <v>40</v>
      </c>
      <c r="C9" s="47" t="s">
        <v>40</v>
      </c>
      <c r="D9" s="47" t="s">
        <v>40</v>
      </c>
      <c r="E9" s="47" t="s">
        <v>40</v>
      </c>
      <c r="F9" s="47" t="s">
        <v>40</v>
      </c>
      <c r="G9" s="47" t="s">
        <v>40</v>
      </c>
      <c r="H9" s="48" t="s">
        <v>40</v>
      </c>
    </row>
    <row r="10" spans="1:8" x14ac:dyDescent="0.2">
      <c r="A10" s="17" t="s">
        <v>41</v>
      </c>
      <c r="B10" s="52" t="s">
        <v>42</v>
      </c>
      <c r="C10" s="46" t="s">
        <v>43</v>
      </c>
      <c r="D10" s="48" t="s">
        <v>43</v>
      </c>
      <c r="E10" s="46" t="s">
        <v>44</v>
      </c>
      <c r="F10" s="48" t="s">
        <v>44</v>
      </c>
      <c r="G10" s="52" t="s">
        <v>45</v>
      </c>
      <c r="H10" s="52" t="s">
        <v>46</v>
      </c>
    </row>
    <row r="11" spans="1:8" x14ac:dyDescent="0.2">
      <c r="A11" s="17" t="s">
        <v>47</v>
      </c>
      <c r="B11" s="5" t="s">
        <v>48</v>
      </c>
      <c r="C11" s="5" t="s">
        <v>49</v>
      </c>
      <c r="D11" s="5" t="s">
        <v>50</v>
      </c>
      <c r="E11" s="5" t="s">
        <v>49</v>
      </c>
      <c r="F11" s="5" t="s">
        <v>50</v>
      </c>
      <c r="G11" s="5" t="s">
        <v>51</v>
      </c>
      <c r="H11" s="23" t="s">
        <v>52</v>
      </c>
    </row>
    <row r="12" spans="1:8" x14ac:dyDescent="0.2">
      <c r="A12" s="17" t="s">
        <v>53</v>
      </c>
      <c r="B12" s="9" t="s">
        <v>54</v>
      </c>
      <c r="C12" s="9" t="s">
        <v>55</v>
      </c>
      <c r="D12" s="9" t="s">
        <v>55</v>
      </c>
      <c r="E12" s="9" t="s">
        <v>54</v>
      </c>
      <c r="F12" s="9" t="s">
        <v>54</v>
      </c>
      <c r="G12" s="9" t="s">
        <v>54</v>
      </c>
      <c r="H12" s="24" t="s">
        <v>54</v>
      </c>
    </row>
    <row r="13" spans="1:8" x14ac:dyDescent="0.2">
      <c r="A13" s="17" t="s">
        <v>56</v>
      </c>
      <c r="B13" s="50" t="s">
        <v>57</v>
      </c>
      <c r="C13" s="50" t="s">
        <v>57</v>
      </c>
      <c r="D13" s="50" t="s">
        <v>57</v>
      </c>
      <c r="E13" s="50" t="s">
        <v>57</v>
      </c>
      <c r="F13" s="50" t="s">
        <v>57</v>
      </c>
      <c r="G13" s="50" t="s">
        <v>57</v>
      </c>
      <c r="H13" s="54" t="s">
        <v>57</v>
      </c>
    </row>
    <row r="14" spans="1:8" x14ac:dyDescent="0.2">
      <c r="A14" s="17" t="s">
        <v>58</v>
      </c>
      <c r="B14" s="51" t="s">
        <v>57</v>
      </c>
      <c r="C14" s="51" t="s">
        <v>57</v>
      </c>
      <c r="D14" s="51" t="s">
        <v>57</v>
      </c>
      <c r="E14" s="51" t="s">
        <v>57</v>
      </c>
      <c r="F14" s="51" t="s">
        <v>57</v>
      </c>
      <c r="G14" s="51" t="s">
        <v>57</v>
      </c>
      <c r="H14" s="55" t="s">
        <v>57</v>
      </c>
    </row>
    <row r="15" spans="1:8" x14ac:dyDescent="0.2">
      <c r="A15" s="17" t="s">
        <v>59</v>
      </c>
      <c r="B15" s="49" t="s">
        <v>148</v>
      </c>
      <c r="C15" s="49" t="s">
        <v>148</v>
      </c>
      <c r="D15" s="49" t="s">
        <v>148</v>
      </c>
      <c r="E15" s="49" t="s">
        <v>148</v>
      </c>
      <c r="F15" s="49" t="s">
        <v>148</v>
      </c>
      <c r="G15" s="49" t="s">
        <v>148</v>
      </c>
      <c r="H15" s="53" t="s">
        <v>148</v>
      </c>
    </row>
    <row r="16" spans="1:8" x14ac:dyDescent="0.2">
      <c r="A16" s="18" t="s">
        <v>60</v>
      </c>
      <c r="B16" s="12"/>
      <c r="C16" s="12"/>
      <c r="D16" s="12"/>
      <c r="E16" s="12"/>
      <c r="F16" s="12"/>
      <c r="G16" s="12"/>
      <c r="H16" s="25"/>
    </row>
    <row r="17" spans="1:8" hidden="1" x14ac:dyDescent="0.2">
      <c r="A17" s="17" t="s">
        <v>61</v>
      </c>
      <c r="B17" s="6">
        <v>142763</v>
      </c>
      <c r="C17" s="6">
        <v>142764</v>
      </c>
      <c r="D17" s="6">
        <v>142764</v>
      </c>
      <c r="E17" s="6">
        <v>142765</v>
      </c>
      <c r="F17" s="6">
        <v>142765</v>
      </c>
      <c r="G17" s="6">
        <v>144289</v>
      </c>
      <c r="H17" s="26">
        <v>142766</v>
      </c>
    </row>
    <row r="18" spans="1:8" hidden="1" x14ac:dyDescent="0.2">
      <c r="A18" s="17" t="s">
        <v>62</v>
      </c>
      <c r="B18" s="6">
        <v>157</v>
      </c>
      <c r="C18" s="6">
        <v>162</v>
      </c>
      <c r="D18" s="6">
        <v>164</v>
      </c>
      <c r="E18" s="6">
        <v>162</v>
      </c>
      <c r="F18" s="6">
        <v>164</v>
      </c>
      <c r="G18" s="6">
        <v>159</v>
      </c>
      <c r="H18" s="26">
        <v>156</v>
      </c>
    </row>
    <row r="19" spans="1:8" x14ac:dyDescent="0.2">
      <c r="A19" s="19" t="s">
        <v>63</v>
      </c>
      <c r="B19" s="7">
        <v>2.3656600000000001E-4</v>
      </c>
      <c r="C19" s="7"/>
      <c r="D19" s="11" t="str">
        <f>IF(LEFT(C19,1)="&lt;","&lt;",IF(AND(ISNUMBER('001-EFFLUENT'!B65),ISNUMBER(C65)),SUM(('001-EFFLUENT'!B65 *  C65) * 8.34),""))</f>
        <v/>
      </c>
      <c r="E19" s="7"/>
      <c r="F19" s="11" t="str">
        <f>IF(LEFT(E19,1)="&lt;","&lt;",IF(AND(ISNUMBER('001-EFFLUENT'!B65),ISNUMBER(E65)),SUM(('001-EFFLUENT'!B65 *  E65) * 8.34),""))</f>
        <v/>
      </c>
      <c r="G19" s="7"/>
      <c r="H19" s="27"/>
    </row>
    <row r="20" spans="1:8" x14ac:dyDescent="0.2">
      <c r="A20" s="19">
        <v>2</v>
      </c>
      <c r="B20" s="7">
        <v>1.6111000000000001E-4</v>
      </c>
      <c r="C20" s="7"/>
      <c r="D20" s="11" t="str">
        <f>IF(LEFT(C20,1)="&lt;","&lt;",IF(AND(ISNUMBER('001-EFFLUENT'!B66),ISNUMBER(C66)),SUM(('001-EFFLUENT'!B66 *  C66) * 8.34),""))</f>
        <v/>
      </c>
      <c r="E20" s="7"/>
      <c r="F20" s="11" t="str">
        <f>IF(LEFT(E20,1)="&lt;","&lt;",IF(AND(ISNUMBER('001-EFFLUENT'!B66),ISNUMBER(E66)),SUM(('001-EFFLUENT'!B66 *  E66) * 8.34),""))</f>
        <v/>
      </c>
      <c r="G20" s="7"/>
      <c r="H20" s="27"/>
    </row>
    <row r="21" spans="1:8" x14ac:dyDescent="0.2">
      <c r="A21" s="19">
        <v>3</v>
      </c>
      <c r="B21" s="7">
        <v>1.3731999999999999E-4</v>
      </c>
      <c r="C21" s="7"/>
      <c r="D21" s="11" t="str">
        <f>IF(LEFT(C21,1)="&lt;","&lt;",IF(AND(ISNUMBER('001-EFFLUENT'!B67),ISNUMBER(C67)),SUM(('001-EFFLUENT'!B67 *  C67) * 8.34),""))</f>
        <v/>
      </c>
      <c r="E21" s="7"/>
      <c r="F21" s="11" t="str">
        <f>IF(LEFT(E21,1)="&lt;","&lt;",IF(AND(ISNUMBER('001-EFFLUENT'!B67),ISNUMBER(E67)),SUM(('001-EFFLUENT'!B67 *  E67) * 8.34),""))</f>
        <v/>
      </c>
      <c r="G21" s="7"/>
      <c r="H21" s="27"/>
    </row>
    <row r="22" spans="1:8" x14ac:dyDescent="0.2">
      <c r="A22" s="19">
        <v>4</v>
      </c>
      <c r="B22" s="7">
        <v>0</v>
      </c>
      <c r="C22" s="7"/>
      <c r="D22" s="11" t="str">
        <f>IF(LEFT(C22,1)="&lt;","&lt;",IF(AND(ISNUMBER('001-EFFLUENT'!B68),ISNUMBER(C68)),SUM(('001-EFFLUENT'!B68 *  C68) * 8.34),""))</f>
        <v/>
      </c>
      <c r="E22" s="7"/>
      <c r="F22" s="11" t="str">
        <f>IF(LEFT(E22,1)="&lt;","&lt;",IF(AND(ISNUMBER('001-EFFLUENT'!B68),ISNUMBER(E68)),SUM(('001-EFFLUENT'!B68 *  E68) * 8.34),""))</f>
        <v/>
      </c>
      <c r="G22" s="7"/>
      <c r="H22" s="27"/>
    </row>
    <row r="23" spans="1:8" x14ac:dyDescent="0.2">
      <c r="A23" s="19">
        <v>5</v>
      </c>
      <c r="B23" s="7">
        <v>0</v>
      </c>
      <c r="C23" s="7"/>
      <c r="D23" s="11" t="str">
        <f>IF(LEFT(C23,1)="&lt;","&lt;",IF(AND(ISNUMBER('001-EFFLUENT'!B69),ISNUMBER(C69)),SUM(('001-EFFLUENT'!B69 *  C69) * 8.34),""))</f>
        <v/>
      </c>
      <c r="E23" s="7"/>
      <c r="F23" s="11" t="str">
        <f>IF(LEFT(E23,1)="&lt;","&lt;",IF(AND(ISNUMBER('001-EFFLUENT'!B69),ISNUMBER(E69)),SUM(('001-EFFLUENT'!B69 *  E69) * 8.34),""))</f>
        <v/>
      </c>
      <c r="G23" s="7"/>
      <c r="H23" s="27"/>
    </row>
    <row r="24" spans="1:8" x14ac:dyDescent="0.2">
      <c r="A24" s="19">
        <v>6</v>
      </c>
      <c r="B24" s="7">
        <v>2.0806700000000001E-4</v>
      </c>
      <c r="C24" s="7"/>
      <c r="D24" s="11" t="str">
        <f>IF(LEFT(C24,1)="&lt;","&lt;",IF(AND(ISNUMBER('001-EFFLUENT'!B70),ISNUMBER(C70)),SUM(('001-EFFLUENT'!B70 *  C70) * 8.34),""))</f>
        <v/>
      </c>
      <c r="E24" s="7"/>
      <c r="F24" s="11" t="str">
        <f>IF(LEFT(E24,1)="&lt;","&lt;",IF(AND(ISNUMBER('001-EFFLUENT'!B70),ISNUMBER(E70)),SUM(('001-EFFLUENT'!B70 *  E70) * 8.34),""))</f>
        <v/>
      </c>
      <c r="G24" s="7"/>
      <c r="H24" s="27"/>
    </row>
    <row r="25" spans="1:8" x14ac:dyDescent="0.2">
      <c r="A25" s="20">
        <v>7</v>
      </c>
      <c r="B25" s="12">
        <v>2.01867E-4</v>
      </c>
      <c r="C25" s="12"/>
      <c r="D25" s="14" t="str">
        <f>IF(LEFT(C25,1)="&lt;","&lt;",IF(AND(ISNUMBER('001-EFFLUENT'!B71),ISNUMBER(C71)),SUM(('001-EFFLUENT'!B71 *  C71) * 8.34),""))</f>
        <v/>
      </c>
      <c r="E25" s="12"/>
      <c r="F25" s="14" t="str">
        <f>IF(LEFT(E25,1)="&lt;","&lt;",IF(AND(ISNUMBER('001-EFFLUENT'!B71),ISNUMBER(E71)),SUM(('001-EFFLUENT'!B71 *  E71) * 8.34),""))</f>
        <v/>
      </c>
      <c r="G25" s="12"/>
      <c r="H25" s="25"/>
    </row>
    <row r="26" spans="1:8" x14ac:dyDescent="0.2">
      <c r="A26" s="19">
        <v>8</v>
      </c>
      <c r="B26" s="7">
        <v>0</v>
      </c>
      <c r="C26" s="7"/>
      <c r="D26" s="11" t="str">
        <f>IF(LEFT(C26,1)="&lt;","&lt;",IF(AND(ISNUMBER('001-EFFLUENT'!B72),ISNUMBER(C72)),SUM(('001-EFFLUENT'!B72 *  C72) * 8.34),""))</f>
        <v/>
      </c>
      <c r="E26" s="7"/>
      <c r="F26" s="11" t="str">
        <f>IF(LEFT(E26,1)="&lt;","&lt;",IF(AND(ISNUMBER('001-EFFLUENT'!B72),ISNUMBER(E72)),SUM(('001-EFFLUENT'!B72 *  E72) * 8.34),""))</f>
        <v/>
      </c>
      <c r="G26" s="7"/>
      <c r="H26" s="27"/>
    </row>
    <row r="27" spans="1:8" x14ac:dyDescent="0.2">
      <c r="A27" s="19">
        <v>9</v>
      </c>
      <c r="B27" s="7">
        <v>2.6754399999999998E-4</v>
      </c>
      <c r="C27" s="7"/>
      <c r="D27" s="11" t="str">
        <f>IF(LEFT(C27,1)="&lt;","&lt;",IF(AND(ISNUMBER('001-EFFLUENT'!B73),ISNUMBER(C73)),SUM(('001-EFFLUENT'!B73 *  C73) * 8.34),""))</f>
        <v/>
      </c>
      <c r="E27" s="7"/>
      <c r="F27" s="11" t="str">
        <f>IF(LEFT(E27,1)="&lt;","&lt;",IF(AND(ISNUMBER('001-EFFLUENT'!B73),ISNUMBER(E73)),SUM(('001-EFFLUENT'!B73 *  E73) * 8.34),""))</f>
        <v/>
      </c>
      <c r="G27" s="7"/>
      <c r="H27" s="27"/>
    </row>
    <row r="28" spans="1:8" x14ac:dyDescent="0.2">
      <c r="A28" s="19">
        <v>10</v>
      </c>
      <c r="B28" s="7">
        <v>2.70547E-4</v>
      </c>
      <c r="C28" s="7"/>
      <c r="D28" s="11" t="str">
        <f>IF(LEFT(C28,1)="&lt;","&lt;",IF(AND(ISNUMBER('001-EFFLUENT'!B74),ISNUMBER(C74)),SUM(('001-EFFLUENT'!B74 *  C74) * 8.34),""))</f>
        <v/>
      </c>
      <c r="E28" s="7"/>
      <c r="F28" s="11" t="str">
        <f>IF(LEFT(E28,1)="&lt;","&lt;",IF(AND(ISNUMBER('001-EFFLUENT'!B74),ISNUMBER(E74)),SUM(('001-EFFLUENT'!B74 *  E74) * 8.34),""))</f>
        <v/>
      </c>
      <c r="G28" s="7">
        <v>0</v>
      </c>
      <c r="H28" s="27"/>
    </row>
    <row r="29" spans="1:8" x14ac:dyDescent="0.2">
      <c r="A29" s="19">
        <v>11</v>
      </c>
      <c r="B29" s="7">
        <v>1.91416E-4</v>
      </c>
      <c r="C29" s="7"/>
      <c r="D29" s="11" t="str">
        <f>IF(LEFT(C29,1)="&lt;","&lt;",IF(AND(ISNUMBER('001-EFFLUENT'!B75),ISNUMBER(C75)),SUM(('001-EFFLUENT'!B75 *  C75) * 8.34),""))</f>
        <v/>
      </c>
      <c r="E29" s="7"/>
      <c r="F29" s="11" t="str">
        <f>IF(LEFT(E29,1)="&lt;","&lt;",IF(AND(ISNUMBER('001-EFFLUENT'!B75),ISNUMBER(E75)),SUM(('001-EFFLUENT'!B75 *  E75) * 8.34),""))</f>
        <v/>
      </c>
      <c r="G29" s="7"/>
      <c r="H29" s="27"/>
    </row>
    <row r="30" spans="1:8" x14ac:dyDescent="0.2">
      <c r="A30" s="19">
        <v>12</v>
      </c>
      <c r="B30" s="7">
        <v>2.2300900000000001E-4</v>
      </c>
      <c r="C30" s="7"/>
      <c r="D30" s="11" t="str">
        <f>IF(LEFT(C30,1)="&lt;","&lt;",IF(AND(ISNUMBER('001-EFFLUENT'!B76),ISNUMBER(C76)),SUM(('001-EFFLUENT'!B76 *  C76) * 8.34),""))</f>
        <v/>
      </c>
      <c r="E30" s="7"/>
      <c r="F30" s="11" t="str">
        <f>IF(LEFT(E30,1)="&lt;","&lt;",IF(AND(ISNUMBER('001-EFFLUENT'!B76),ISNUMBER(E76)),SUM(('001-EFFLUENT'!B76 *  E76) * 8.34),""))</f>
        <v/>
      </c>
      <c r="G30" s="7"/>
      <c r="H30" s="27"/>
    </row>
    <row r="31" spans="1:8" x14ac:dyDescent="0.2">
      <c r="A31" s="19">
        <v>13</v>
      </c>
      <c r="B31" s="7">
        <v>0</v>
      </c>
      <c r="C31" s="7"/>
      <c r="D31" s="11" t="str">
        <f>IF(LEFT(C31,1)="&lt;","&lt;",IF(AND(ISNUMBER('001-EFFLUENT'!B77),ISNUMBER(C77)),SUM(('001-EFFLUENT'!B77 *  C77) * 8.34),""))</f>
        <v/>
      </c>
      <c r="E31" s="7"/>
      <c r="F31" s="11" t="str">
        <f>IF(LEFT(E31,1)="&lt;","&lt;",IF(AND(ISNUMBER('001-EFFLUENT'!B77),ISNUMBER(E77)),SUM(('001-EFFLUENT'!B77 *  E77) * 8.34),""))</f>
        <v/>
      </c>
      <c r="G31" s="7"/>
      <c r="H31" s="27"/>
    </row>
    <row r="32" spans="1:8" x14ac:dyDescent="0.2">
      <c r="A32" s="20">
        <v>14</v>
      </c>
      <c r="B32" s="12">
        <v>0</v>
      </c>
      <c r="C32" s="12"/>
      <c r="D32" s="14" t="str">
        <f>IF(LEFT(C32,1)="&lt;","&lt;",IF(AND(ISNUMBER('001-EFFLUENT'!B78),ISNUMBER(C78)),SUM(('001-EFFLUENT'!B78 *  C78) * 8.34),""))</f>
        <v/>
      </c>
      <c r="E32" s="12"/>
      <c r="F32" s="14" t="str">
        <f>IF(LEFT(E32,1)="&lt;","&lt;",IF(AND(ISNUMBER('001-EFFLUENT'!B78),ISNUMBER(E78)),SUM(('001-EFFLUENT'!B78 *  E78) * 8.34),""))</f>
        <v/>
      </c>
      <c r="G32" s="12"/>
      <c r="H32" s="25"/>
    </row>
    <row r="33" spans="1:8" x14ac:dyDescent="0.2">
      <c r="A33" s="19">
        <v>15</v>
      </c>
      <c r="B33" s="7">
        <v>0</v>
      </c>
      <c r="C33" s="7"/>
      <c r="D33" s="11" t="str">
        <f>IF(LEFT(C33,1)="&lt;","&lt;",IF(AND(ISNUMBER('001-EFFLUENT'!B79),ISNUMBER(C79)),SUM(('001-EFFLUENT'!B79 *  C79) * 8.34),""))</f>
        <v/>
      </c>
      <c r="E33" s="7"/>
      <c r="F33" s="11" t="str">
        <f>IF(LEFT(E33,1)="&lt;","&lt;",IF(AND(ISNUMBER('001-EFFLUENT'!B79),ISNUMBER(E79)),SUM(('001-EFFLUENT'!B79 *  E79) * 8.34),""))</f>
        <v/>
      </c>
      <c r="G33" s="7"/>
      <c r="H33" s="27"/>
    </row>
    <row r="34" spans="1:8" x14ac:dyDescent="0.2">
      <c r="A34" s="19">
        <v>16</v>
      </c>
      <c r="B34" s="7">
        <v>2.6711699999999998E-4</v>
      </c>
      <c r="C34" s="7"/>
      <c r="D34" s="11" t="str">
        <f>IF(LEFT(C34,1)="&lt;","&lt;",IF(AND(ISNUMBER('001-EFFLUENT'!B80),ISNUMBER(C80)),SUM(('001-EFFLUENT'!B80 *  C80) * 8.34),""))</f>
        <v/>
      </c>
      <c r="E34" s="7"/>
      <c r="F34" s="11" t="str">
        <f>IF(LEFT(E34,1)="&lt;","&lt;",IF(AND(ISNUMBER('001-EFFLUENT'!B80),ISNUMBER(E80)),SUM(('001-EFFLUENT'!B80 *  E80) * 8.34),""))</f>
        <v/>
      </c>
      <c r="G34" s="7"/>
      <c r="H34" s="27"/>
    </row>
    <row r="35" spans="1:8" x14ac:dyDescent="0.2">
      <c r="A35" s="19">
        <v>17</v>
      </c>
      <c r="B35" s="7">
        <v>2.7959300000000002E-4</v>
      </c>
      <c r="C35" s="7"/>
      <c r="D35" s="11" t="str">
        <f>IF(LEFT(C35,1)="&lt;","&lt;",IF(AND(ISNUMBER('001-EFFLUENT'!B81),ISNUMBER(C81)),SUM(('001-EFFLUENT'!B81 *  C81) * 8.34),""))</f>
        <v/>
      </c>
      <c r="E35" s="7"/>
      <c r="F35" s="11" t="str">
        <f>IF(LEFT(E35,1)="&lt;","&lt;",IF(AND(ISNUMBER('001-EFFLUENT'!B81),ISNUMBER(E81)),SUM(('001-EFFLUENT'!B81 *  E81) * 8.34),""))</f>
        <v/>
      </c>
      <c r="G35" s="7"/>
      <c r="H35" s="27"/>
    </row>
    <row r="36" spans="1:8" x14ac:dyDescent="0.2">
      <c r="A36" s="19">
        <v>18</v>
      </c>
      <c r="B36" s="7">
        <v>3.0762699999999999E-4</v>
      </c>
      <c r="C36" s="7"/>
      <c r="D36" s="11" t="str">
        <f>IF(LEFT(C36,1)="&lt;","&lt;",IF(AND(ISNUMBER('001-EFFLUENT'!B82),ISNUMBER(C82)),SUM(('001-EFFLUENT'!B82 *  C82) * 8.34),""))</f>
        <v/>
      </c>
      <c r="E36" s="7"/>
      <c r="F36" s="11" t="str">
        <f>IF(LEFT(E36,1)="&lt;","&lt;",IF(AND(ISNUMBER('001-EFFLUENT'!B82),ISNUMBER(E82)),SUM(('001-EFFLUENT'!B82 *  E82) * 8.34),""))</f>
        <v/>
      </c>
      <c r="G36" s="7"/>
      <c r="H36" s="27"/>
    </row>
    <row r="37" spans="1:8" x14ac:dyDescent="0.2">
      <c r="A37" s="19">
        <v>19</v>
      </c>
      <c r="B37" s="7">
        <v>2.0734099999999999E-4</v>
      </c>
      <c r="C37" s="7"/>
      <c r="D37" s="11" t="str">
        <f>IF(LEFT(C37,1)="&lt;","&lt;",IF(AND(ISNUMBER('001-EFFLUENT'!B83),ISNUMBER(C83)),SUM(('001-EFFLUENT'!B83 *  C83) * 8.34),""))</f>
        <v/>
      </c>
      <c r="E37" s="7"/>
      <c r="F37" s="11" t="str">
        <f>IF(LEFT(E37,1)="&lt;","&lt;",IF(AND(ISNUMBER('001-EFFLUENT'!B83),ISNUMBER(E83)),SUM(('001-EFFLUENT'!B83 *  E83) * 8.34),""))</f>
        <v/>
      </c>
      <c r="G37" s="7"/>
      <c r="H37" s="27"/>
    </row>
    <row r="38" spans="1:8" x14ac:dyDescent="0.2">
      <c r="A38" s="19">
        <v>20</v>
      </c>
      <c r="B38" s="7">
        <v>2.4630300000000002E-4</v>
      </c>
      <c r="C38" s="7"/>
      <c r="D38" s="11" t="str">
        <f>IF(LEFT(C38,1)="&lt;","&lt;",IF(AND(ISNUMBER('001-EFFLUENT'!B84),ISNUMBER(C84)),SUM(('001-EFFLUENT'!B84 *  C84) * 8.34),""))</f>
        <v/>
      </c>
      <c r="E38" s="7"/>
      <c r="F38" s="11" t="str">
        <f>IF(LEFT(E38,1)="&lt;","&lt;",IF(AND(ISNUMBER('001-EFFLUENT'!B84),ISNUMBER(E84)),SUM(('001-EFFLUENT'!B84 *  E84) * 8.34),""))</f>
        <v/>
      </c>
      <c r="G38" s="7"/>
      <c r="H38" s="27"/>
    </row>
    <row r="39" spans="1:8" x14ac:dyDescent="0.2">
      <c r="A39" s="20">
        <v>21</v>
      </c>
      <c r="B39" s="12">
        <v>2.1315599999999999E-4</v>
      </c>
      <c r="C39" s="12"/>
      <c r="D39" s="14" t="str">
        <f>IF(LEFT(C39,1)="&lt;","&lt;",IF(AND(ISNUMBER('001-EFFLUENT'!B85),ISNUMBER(C85)),SUM(('001-EFFLUENT'!B85 *  C85) * 8.34),""))</f>
        <v/>
      </c>
      <c r="E39" s="12"/>
      <c r="F39" s="14" t="str">
        <f>IF(LEFT(E39,1)="&lt;","&lt;",IF(AND(ISNUMBER('001-EFFLUENT'!B85),ISNUMBER(E85)),SUM(('001-EFFLUENT'!B85 *  E85) * 8.34),""))</f>
        <v/>
      </c>
      <c r="G39" s="12"/>
      <c r="H39" s="25"/>
    </row>
    <row r="40" spans="1:8" x14ac:dyDescent="0.2">
      <c r="A40" s="19">
        <v>22</v>
      </c>
      <c r="B40" s="7">
        <v>2.5018000000000002E-4</v>
      </c>
      <c r="C40" s="7"/>
      <c r="D40" s="11" t="str">
        <f>IF(LEFT(C40,1)="&lt;","&lt;",IF(AND(ISNUMBER('001-EFFLUENT'!B86),ISNUMBER(C86)),SUM(('001-EFFLUENT'!B86 *  C86) * 8.34),""))</f>
        <v/>
      </c>
      <c r="E40" s="7"/>
      <c r="F40" s="11" t="str">
        <f>IF(LEFT(E40,1)="&lt;","&lt;",IF(AND(ISNUMBER('001-EFFLUENT'!B86),ISNUMBER(E86)),SUM(('001-EFFLUENT'!B86 *  E86) * 8.34),""))</f>
        <v/>
      </c>
      <c r="G40" s="7"/>
      <c r="H40" s="27"/>
    </row>
    <row r="41" spans="1:8" x14ac:dyDescent="0.2">
      <c r="A41" s="19">
        <v>23</v>
      </c>
      <c r="B41" s="7">
        <v>4.3566500000000001E-4</v>
      </c>
      <c r="C41" s="7"/>
      <c r="D41" s="11" t="str">
        <f>IF(LEFT(C41,1)="&lt;","&lt;",IF(AND(ISNUMBER('001-EFFLUENT'!B87),ISNUMBER(C87)),SUM(('001-EFFLUENT'!B87 *  C87) * 8.34),""))</f>
        <v/>
      </c>
      <c r="E41" s="7"/>
      <c r="F41" s="11" t="str">
        <f>IF(LEFT(E41,1)="&lt;","&lt;",IF(AND(ISNUMBER('001-EFFLUENT'!B87),ISNUMBER(E87)),SUM(('001-EFFLUENT'!B87 *  E87) * 8.34),""))</f>
        <v/>
      </c>
      <c r="G41" s="7"/>
      <c r="H41" s="27"/>
    </row>
    <row r="42" spans="1:8" x14ac:dyDescent="0.2">
      <c r="A42" s="19">
        <v>24</v>
      </c>
      <c r="B42" s="7">
        <v>5.0525400000000001E-4</v>
      </c>
      <c r="C42" s="7"/>
      <c r="D42" s="11" t="str">
        <f>IF(LEFT(C42,1)="&lt;","&lt;",IF(AND(ISNUMBER('001-EFFLUENT'!B88),ISNUMBER(C88)),SUM(('001-EFFLUENT'!B88 *  C88) * 8.34),""))</f>
        <v/>
      </c>
      <c r="E42" s="7"/>
      <c r="F42" s="11" t="str">
        <f>IF(LEFT(E42,1)="&lt;","&lt;",IF(AND(ISNUMBER('001-EFFLUENT'!B88),ISNUMBER(E88)),SUM(('001-EFFLUENT'!B88 *  E88) * 8.34),""))</f>
        <v/>
      </c>
      <c r="G42" s="7"/>
      <c r="H42" s="27"/>
    </row>
    <row r="43" spans="1:8" x14ac:dyDescent="0.2">
      <c r="A43" s="19">
        <v>25</v>
      </c>
      <c r="B43" s="7">
        <v>5.7238899999999997E-4</v>
      </c>
      <c r="C43" s="7"/>
      <c r="D43" s="11" t="str">
        <f>IF(LEFT(C43,1)="&lt;","&lt;",IF(AND(ISNUMBER('001-EFFLUENT'!B89),ISNUMBER(C89)),SUM(('001-EFFLUENT'!B89 *  C89) * 8.34),""))</f>
        <v/>
      </c>
      <c r="E43" s="7"/>
      <c r="F43" s="11" t="str">
        <f>IF(LEFT(E43,1)="&lt;","&lt;",IF(AND(ISNUMBER('001-EFFLUENT'!B89),ISNUMBER(E89)),SUM(('001-EFFLUENT'!B89 *  E89) * 8.34),""))</f>
        <v/>
      </c>
      <c r="G43" s="7"/>
      <c r="H43" s="27"/>
    </row>
    <row r="44" spans="1:8" x14ac:dyDescent="0.2">
      <c r="A44" s="19">
        <v>26</v>
      </c>
      <c r="B44" s="7">
        <v>7.9682500000000003E-4</v>
      </c>
      <c r="C44" s="7"/>
      <c r="D44" s="11" t="str">
        <f>IF(LEFT(C44,1)="&lt;","&lt;",IF(AND(ISNUMBER('001-EFFLUENT'!B90),ISNUMBER(C90)),SUM(('001-EFFLUENT'!B90 *  C90) * 8.34),""))</f>
        <v/>
      </c>
      <c r="E44" s="7"/>
      <c r="F44" s="11" t="str">
        <f>IF(LEFT(E44,1)="&lt;","&lt;",IF(AND(ISNUMBER('001-EFFLUENT'!B90),ISNUMBER(E90)),SUM(('001-EFFLUENT'!B90 *  E90) * 8.34),""))</f>
        <v/>
      </c>
      <c r="G44" s="7"/>
      <c r="H44" s="27"/>
    </row>
    <row r="45" spans="1:8" x14ac:dyDescent="0.2">
      <c r="A45" s="19">
        <v>27</v>
      </c>
      <c r="B45" s="7">
        <v>6.7674399999999996E-4</v>
      </c>
      <c r="C45" s="7"/>
      <c r="D45" s="11" t="str">
        <f>IF(LEFT(C45,1)="&lt;","&lt;",IF(AND(ISNUMBER('001-EFFLUENT'!B91),ISNUMBER(C91)),SUM(('001-EFFLUENT'!B91 *  C91) * 8.34),""))</f>
        <v/>
      </c>
      <c r="E45" s="7"/>
      <c r="F45" s="11" t="str">
        <f>IF(LEFT(E45,1)="&lt;","&lt;",IF(AND(ISNUMBER('001-EFFLUENT'!B91),ISNUMBER(E91)),SUM(('001-EFFLUENT'!B91 *  E91) * 8.34),""))</f>
        <v/>
      </c>
      <c r="G45" s="7"/>
      <c r="H45" s="27"/>
    </row>
    <row r="46" spans="1:8" x14ac:dyDescent="0.2">
      <c r="A46" s="20">
        <v>28</v>
      </c>
      <c r="B46" s="12">
        <v>7.2143499999999998E-4</v>
      </c>
      <c r="C46" s="12"/>
      <c r="D46" s="14" t="str">
        <f>IF(LEFT(C46,1)="&lt;","&lt;",IF(AND(ISNUMBER('001-EFFLUENT'!B92),ISNUMBER(C92)),SUM(('001-EFFLUENT'!B92 *  C92) * 8.34),""))</f>
        <v/>
      </c>
      <c r="E46" s="12"/>
      <c r="F46" s="14" t="str">
        <f>IF(LEFT(E46,1)="&lt;","&lt;",IF(AND(ISNUMBER('001-EFFLUENT'!B92),ISNUMBER(E92)),SUM(('001-EFFLUENT'!B92 *  E92) * 8.34),""))</f>
        <v/>
      </c>
      <c r="G46" s="12"/>
      <c r="H46" s="25"/>
    </row>
    <row r="47" spans="1:8" x14ac:dyDescent="0.2">
      <c r="A47" s="19">
        <v>29</v>
      </c>
      <c r="B47" s="7">
        <v>0</v>
      </c>
      <c r="C47" s="7"/>
      <c r="D47" s="11" t="str">
        <f>IF(LEFT(C47,1)="&lt;","&lt;",IF(AND(ISNUMBER('001-EFFLUENT'!B93),ISNUMBER(C93)),SUM(('001-EFFLUENT'!B93 *  C93) * 8.34),""))</f>
        <v/>
      </c>
      <c r="E47" s="7"/>
      <c r="F47" s="11" t="str">
        <f>IF(LEFT(E47,1)="&lt;","&lt;",IF(AND(ISNUMBER('001-EFFLUENT'!B93),ISNUMBER(E93)),SUM(('001-EFFLUENT'!B93 *  E93) * 8.34),""))</f>
        <v/>
      </c>
      <c r="G47" s="7"/>
      <c r="H47" s="27"/>
    </row>
    <row r="48" spans="1:8" x14ac:dyDescent="0.2">
      <c r="A48" s="19">
        <v>30</v>
      </c>
      <c r="B48" s="7">
        <v>1.2829000000000001E-4</v>
      </c>
      <c r="C48" s="7"/>
      <c r="D48" s="11" t="str">
        <f>IF(LEFT(C48,1)="&lt;","&lt;",IF(AND(ISNUMBER('001-EFFLUENT'!B94),ISNUMBER(C94)),SUM(('001-EFFLUENT'!B94 *  C94) * 8.34),""))</f>
        <v/>
      </c>
      <c r="E48" s="7"/>
      <c r="F48" s="11" t="str">
        <f>IF(LEFT(E48,1)="&lt;","&lt;",IF(AND(ISNUMBER('001-EFFLUENT'!B94),ISNUMBER(E94)),SUM(('001-EFFLUENT'!B94 *  E94) * 8.34),""))</f>
        <v/>
      </c>
      <c r="G48" s="7"/>
      <c r="H48" s="27"/>
    </row>
    <row r="49" spans="1:8" x14ac:dyDescent="0.2">
      <c r="A49" s="19">
        <v>31</v>
      </c>
      <c r="B49" s="7">
        <v>3.7828299999999998E-4</v>
      </c>
      <c r="C49" s="7"/>
      <c r="D49" s="11" t="str">
        <f>IF(LEFT(C49,1)="&lt;","&lt;",IF(AND(ISNUMBER('001-EFFLUENT'!B95),ISNUMBER(C95)),SUM(('001-EFFLUENT'!B95 *  C95) * 8.34),""))</f>
        <v/>
      </c>
      <c r="E49" s="7"/>
      <c r="F49" s="11" t="str">
        <f>IF(LEFT(E49,1)="&lt;","&lt;",IF(AND(ISNUMBER('001-EFFLUENT'!B95),ISNUMBER(E95)),SUM(('001-EFFLUENT'!B95 *  E95) * 8.34),""))</f>
        <v/>
      </c>
      <c r="G49" s="7"/>
      <c r="H49" s="27"/>
    </row>
    <row r="50" spans="1:8" hidden="1" x14ac:dyDescent="0.2">
      <c r="A50" s="21"/>
      <c r="B50" s="8"/>
      <c r="C50" s="8"/>
      <c r="D50" s="11" t="str">
        <f>IF(LEFT(C50,1)="&lt;","&lt;",IF(AND(ISNUMBER('001-EFFLUENT'!B96),ISNUMBER(C96)),SUM(('001-EFFLUENT'!B96 *  C96) * 8.34),""))</f>
        <v/>
      </c>
      <c r="E50" s="8"/>
      <c r="F50" s="11" t="str">
        <f>IF(LEFT(E50,1)="&lt;","&lt;",IF(AND(ISNUMBER('001-EFFLUENT'!B96),ISNUMBER(E96)),SUM(('001-EFFLUENT'!B96 *  E96) * 8.34),""))</f>
        <v/>
      </c>
      <c r="G50" s="8"/>
      <c r="H50" s="32"/>
    </row>
    <row r="51" spans="1:8" x14ac:dyDescent="0.2">
      <c r="A51" s="22" t="s">
        <v>64</v>
      </c>
      <c r="B51" s="13">
        <f t="shared" ref="B51:H51" si="0">IF(COUNTA(B19:B50)&gt;0,SUM(B65:B96),"")</f>
        <v>7.883648E-3</v>
      </c>
      <c r="C51" s="13" t="str">
        <f t="shared" si="0"/>
        <v/>
      </c>
      <c r="D51" s="13">
        <f t="shared" si="0"/>
        <v>0</v>
      </c>
      <c r="E51" s="13" t="str">
        <f t="shared" si="0"/>
        <v/>
      </c>
      <c r="F51" s="13">
        <f t="shared" si="0"/>
        <v>0</v>
      </c>
      <c r="G51" s="13">
        <f t="shared" si="0"/>
        <v>0</v>
      </c>
      <c r="H51" s="28" t="str">
        <f t="shared" si="0"/>
        <v/>
      </c>
    </row>
    <row r="52" spans="1:8" x14ac:dyDescent="0.2">
      <c r="A52" s="19" t="s">
        <v>65</v>
      </c>
      <c r="B52" s="10">
        <f t="shared" ref="B52:H52" si="1">IF(ISNUMBER(AVERAGE(B65:B96)),AVERAGE(B65:B96),"")</f>
        <v>2.5431122580645162E-4</v>
      </c>
      <c r="C52" s="10" t="str">
        <f t="shared" si="1"/>
        <v/>
      </c>
      <c r="D52" s="10" t="str">
        <f t="shared" si="1"/>
        <v/>
      </c>
      <c r="E52" s="10" t="str">
        <f t="shared" si="1"/>
        <v/>
      </c>
      <c r="F52" s="10" t="str">
        <f t="shared" si="1"/>
        <v/>
      </c>
      <c r="G52" s="10">
        <f t="shared" si="1"/>
        <v>0</v>
      </c>
      <c r="H52" s="29" t="str">
        <f t="shared" si="1"/>
        <v/>
      </c>
    </row>
    <row r="53" spans="1:8" x14ac:dyDescent="0.2">
      <c r="A53" s="19" t="s">
        <v>66</v>
      </c>
      <c r="B53" s="10">
        <f t="shared" ref="B53:H53" si="2">IF(MAX(B65:B96)=0,"",MAX(B65:B96))</f>
        <v>7.9682500000000003E-4</v>
      </c>
      <c r="C53" s="10" t="str">
        <f t="shared" si="2"/>
        <v/>
      </c>
      <c r="D53" s="10" t="str">
        <f t="shared" si="2"/>
        <v/>
      </c>
      <c r="E53" s="10" t="str">
        <f t="shared" si="2"/>
        <v/>
      </c>
      <c r="F53" s="10" t="str">
        <f t="shared" si="2"/>
        <v/>
      </c>
      <c r="G53" s="10" t="str">
        <f t="shared" si="2"/>
        <v/>
      </c>
      <c r="H53" s="29" t="str">
        <f t="shared" si="2"/>
        <v/>
      </c>
    </row>
    <row r="54" spans="1:8" x14ac:dyDescent="0.2">
      <c r="A54" s="19" t="s">
        <v>67</v>
      </c>
      <c r="B54" s="10" t="str">
        <f t="shared" ref="B54:H54" si="3">IF(MIN(B65:B96)=0,"",MIN(B65:B96))</f>
        <v/>
      </c>
      <c r="C54" s="10" t="str">
        <f t="shared" si="3"/>
        <v/>
      </c>
      <c r="D54" s="10" t="str">
        <f t="shared" si="3"/>
        <v/>
      </c>
      <c r="E54" s="10" t="str">
        <f t="shared" si="3"/>
        <v/>
      </c>
      <c r="F54" s="10" t="str">
        <f t="shared" si="3"/>
        <v/>
      </c>
      <c r="G54" s="10" t="str">
        <f t="shared" si="3"/>
        <v/>
      </c>
      <c r="H54" s="29" t="str">
        <f t="shared" si="3"/>
        <v/>
      </c>
    </row>
    <row r="55" spans="1:8" x14ac:dyDescent="0.2">
      <c r="A55" s="19" t="s">
        <v>68</v>
      </c>
      <c r="B55" s="10">
        <f t="shared" ref="B55:H55" si="4">IF(MAX(B57:B60)=0,"",MAX(B57:B60))</f>
        <v>5.6549885714285712E-4</v>
      </c>
      <c r="C55" s="10" t="str">
        <f t="shared" si="4"/>
        <v/>
      </c>
      <c r="D55" s="10" t="str">
        <f t="shared" si="4"/>
        <v/>
      </c>
      <c r="E55" s="10" t="str">
        <f t="shared" si="4"/>
        <v/>
      </c>
      <c r="F55" s="10" t="str">
        <f t="shared" si="4"/>
        <v/>
      </c>
      <c r="G55" s="10" t="str">
        <f t="shared" si="4"/>
        <v/>
      </c>
      <c r="H55" s="29" t="str">
        <f t="shared" si="4"/>
        <v/>
      </c>
    </row>
    <row r="56" spans="1:8" x14ac:dyDescent="0.2">
      <c r="A56" s="21"/>
      <c r="H56" s="30"/>
    </row>
    <row r="57" spans="1:8" hidden="1" x14ac:dyDescent="0.2">
      <c r="A57" s="22" t="s">
        <v>69</v>
      </c>
      <c r="B57" s="13">
        <f t="shared" ref="B57:H57" si="5">IF(SUM(B65:B71)&gt;0,AVERAGE(B65:B71),"")</f>
        <v>1.3499000000000001E-4</v>
      </c>
      <c r="C57" s="13" t="str">
        <f t="shared" si="5"/>
        <v/>
      </c>
      <c r="D57" s="13" t="str">
        <f t="shared" si="5"/>
        <v/>
      </c>
      <c r="E57" s="13" t="str">
        <f t="shared" si="5"/>
        <v/>
      </c>
      <c r="F57" s="13" t="str">
        <f t="shared" si="5"/>
        <v/>
      </c>
      <c r="G57" s="13" t="str">
        <f t="shared" si="5"/>
        <v/>
      </c>
      <c r="H57" s="28" t="str">
        <f t="shared" si="5"/>
        <v/>
      </c>
    </row>
    <row r="58" spans="1:8" hidden="1" x14ac:dyDescent="0.2">
      <c r="A58" s="19" t="s">
        <v>70</v>
      </c>
      <c r="B58" s="10">
        <f t="shared" ref="B58:H58" si="6">IF(SUM(B72:B78)&gt;0,AVERAGE(B72:B78),"")</f>
        <v>1.360737142857143E-4</v>
      </c>
      <c r="C58" s="10" t="str">
        <f t="shared" si="6"/>
        <v/>
      </c>
      <c r="D58" s="10" t="str">
        <f t="shared" si="6"/>
        <v/>
      </c>
      <c r="E58" s="10" t="str">
        <f t="shared" si="6"/>
        <v/>
      </c>
      <c r="F58" s="10" t="str">
        <f t="shared" si="6"/>
        <v/>
      </c>
      <c r="G58" s="10" t="str">
        <f t="shared" si="6"/>
        <v/>
      </c>
      <c r="H58" s="29" t="str">
        <f t="shared" si="6"/>
        <v/>
      </c>
    </row>
    <row r="59" spans="1:8" hidden="1" x14ac:dyDescent="0.2">
      <c r="A59" s="19" t="s">
        <v>71</v>
      </c>
      <c r="B59" s="10">
        <f t="shared" ref="B59:H59" si="7">IF(SUM(B79:B85)&gt;0,AVERAGE(B79:B85),"")</f>
        <v>2.1730528571428569E-4</v>
      </c>
      <c r="C59" s="10" t="str">
        <f t="shared" si="7"/>
        <v/>
      </c>
      <c r="D59" s="10" t="str">
        <f t="shared" si="7"/>
        <v/>
      </c>
      <c r="E59" s="10" t="str">
        <f t="shared" si="7"/>
        <v/>
      </c>
      <c r="F59" s="10" t="str">
        <f t="shared" si="7"/>
        <v/>
      </c>
      <c r="G59" s="10" t="str">
        <f t="shared" si="7"/>
        <v/>
      </c>
      <c r="H59" s="29" t="str">
        <f t="shared" si="7"/>
        <v/>
      </c>
    </row>
    <row r="60" spans="1:8" hidden="1" x14ac:dyDescent="0.2">
      <c r="A60" s="20" t="s">
        <v>72</v>
      </c>
      <c r="B60" s="15">
        <f t="shared" ref="B60:H60" si="8">IF(SUM(B86:B92)&gt;0,AVERAGE(B86:B92),"")</f>
        <v>5.6549885714285712E-4</v>
      </c>
      <c r="C60" s="15" t="str">
        <f t="shared" si="8"/>
        <v/>
      </c>
      <c r="D60" s="15" t="str">
        <f t="shared" si="8"/>
        <v/>
      </c>
      <c r="E60" s="15" t="str">
        <f t="shared" si="8"/>
        <v/>
      </c>
      <c r="F60" s="15" t="str">
        <f t="shared" si="8"/>
        <v/>
      </c>
      <c r="G60" s="15" t="str">
        <f t="shared" si="8"/>
        <v/>
      </c>
      <c r="H60" s="31" t="str">
        <f t="shared" si="8"/>
        <v/>
      </c>
    </row>
    <row r="65" spans="1:8" hidden="1" x14ac:dyDescent="0.2">
      <c r="A65" s="4" t="s">
        <v>73</v>
      </c>
      <c r="B65" s="3">
        <f t="shared" ref="B65:H74" si="9">IF(LEFT(B19,1) = "&lt;",0, IF(ISBLANK(B19),"",B19))</f>
        <v>2.3656600000000001E-4</v>
      </c>
      <c r="C65" s="3" t="str">
        <f t="shared" si="9"/>
        <v/>
      </c>
      <c r="D65" s="3" t="str">
        <f t="shared" si="9"/>
        <v/>
      </c>
      <c r="E65" s="3" t="str">
        <f t="shared" si="9"/>
        <v/>
      </c>
      <c r="F65" s="3" t="str">
        <f t="shared" si="9"/>
        <v/>
      </c>
      <c r="G65" s="3" t="str">
        <f t="shared" si="9"/>
        <v/>
      </c>
      <c r="H65" s="3" t="str">
        <f t="shared" si="9"/>
        <v/>
      </c>
    </row>
    <row r="66" spans="1:8" hidden="1" x14ac:dyDescent="0.2">
      <c r="A66" s="4" t="s">
        <v>74</v>
      </c>
      <c r="B66" s="3">
        <f t="shared" si="9"/>
        <v>1.6111000000000001E-4</v>
      </c>
      <c r="C66" s="3" t="str">
        <f t="shared" si="9"/>
        <v/>
      </c>
      <c r="D66" s="3" t="str">
        <f t="shared" si="9"/>
        <v/>
      </c>
      <c r="E66" s="3" t="str">
        <f t="shared" si="9"/>
        <v/>
      </c>
      <c r="F66" s="3" t="str">
        <f t="shared" si="9"/>
        <v/>
      </c>
      <c r="G66" s="3" t="str">
        <f t="shared" si="9"/>
        <v/>
      </c>
      <c r="H66" s="3" t="str">
        <f t="shared" si="9"/>
        <v/>
      </c>
    </row>
    <row r="67" spans="1:8" hidden="1" x14ac:dyDescent="0.2">
      <c r="A67" s="4" t="s">
        <v>75</v>
      </c>
      <c r="B67" s="3">
        <f t="shared" si="9"/>
        <v>1.3731999999999999E-4</v>
      </c>
      <c r="C67" s="3" t="str">
        <f t="shared" si="9"/>
        <v/>
      </c>
      <c r="D67" s="3" t="str">
        <f t="shared" si="9"/>
        <v/>
      </c>
      <c r="E67" s="3" t="str">
        <f t="shared" si="9"/>
        <v/>
      </c>
      <c r="F67" s="3" t="str">
        <f t="shared" si="9"/>
        <v/>
      </c>
      <c r="G67" s="3" t="str">
        <f t="shared" si="9"/>
        <v/>
      </c>
      <c r="H67" s="3" t="str">
        <f t="shared" si="9"/>
        <v/>
      </c>
    </row>
    <row r="68" spans="1:8" hidden="1" x14ac:dyDescent="0.2">
      <c r="A68" s="4" t="s">
        <v>76</v>
      </c>
      <c r="B68" s="3">
        <f t="shared" si="9"/>
        <v>0</v>
      </c>
      <c r="C68" s="3" t="str">
        <f t="shared" si="9"/>
        <v/>
      </c>
      <c r="D68" s="3" t="str">
        <f t="shared" si="9"/>
        <v/>
      </c>
      <c r="E68" s="3" t="str">
        <f t="shared" si="9"/>
        <v/>
      </c>
      <c r="F68" s="3" t="str">
        <f t="shared" si="9"/>
        <v/>
      </c>
      <c r="G68" s="3" t="str">
        <f t="shared" si="9"/>
        <v/>
      </c>
      <c r="H68" s="3" t="str">
        <f t="shared" si="9"/>
        <v/>
      </c>
    </row>
    <row r="69" spans="1:8" hidden="1" x14ac:dyDescent="0.2">
      <c r="A69" s="4" t="s">
        <v>77</v>
      </c>
      <c r="B69" s="3">
        <f t="shared" si="9"/>
        <v>0</v>
      </c>
      <c r="C69" s="3" t="str">
        <f t="shared" si="9"/>
        <v/>
      </c>
      <c r="D69" s="3" t="str">
        <f t="shared" si="9"/>
        <v/>
      </c>
      <c r="E69" s="3" t="str">
        <f t="shared" si="9"/>
        <v/>
      </c>
      <c r="F69" s="3" t="str">
        <f t="shared" si="9"/>
        <v/>
      </c>
      <c r="G69" s="3" t="str">
        <f t="shared" si="9"/>
        <v/>
      </c>
      <c r="H69" s="3" t="str">
        <f t="shared" si="9"/>
        <v/>
      </c>
    </row>
    <row r="70" spans="1:8" hidden="1" x14ac:dyDescent="0.2">
      <c r="A70" s="4" t="s">
        <v>78</v>
      </c>
      <c r="B70" s="3">
        <f t="shared" si="9"/>
        <v>2.0806700000000001E-4</v>
      </c>
      <c r="C70" s="3" t="str">
        <f t="shared" si="9"/>
        <v/>
      </c>
      <c r="D70" s="3" t="str">
        <f t="shared" si="9"/>
        <v/>
      </c>
      <c r="E70" s="3" t="str">
        <f t="shared" si="9"/>
        <v/>
      </c>
      <c r="F70" s="3" t="str">
        <f t="shared" si="9"/>
        <v/>
      </c>
      <c r="G70" s="3" t="str">
        <f t="shared" si="9"/>
        <v/>
      </c>
      <c r="H70" s="3" t="str">
        <f t="shared" si="9"/>
        <v/>
      </c>
    </row>
    <row r="71" spans="1:8" hidden="1" x14ac:dyDescent="0.2">
      <c r="A71" s="4" t="s">
        <v>79</v>
      </c>
      <c r="B71" s="3">
        <f t="shared" si="9"/>
        <v>2.01867E-4</v>
      </c>
      <c r="C71" s="3" t="str">
        <f t="shared" si="9"/>
        <v/>
      </c>
      <c r="D71" s="3" t="str">
        <f t="shared" si="9"/>
        <v/>
      </c>
      <c r="E71" s="3" t="str">
        <f t="shared" si="9"/>
        <v/>
      </c>
      <c r="F71" s="3" t="str">
        <f t="shared" si="9"/>
        <v/>
      </c>
      <c r="G71" s="3" t="str">
        <f t="shared" si="9"/>
        <v/>
      </c>
      <c r="H71" s="3" t="str">
        <f t="shared" si="9"/>
        <v/>
      </c>
    </row>
    <row r="72" spans="1:8" hidden="1" x14ac:dyDescent="0.2">
      <c r="A72" s="4" t="s">
        <v>80</v>
      </c>
      <c r="B72" s="3">
        <f t="shared" si="9"/>
        <v>0</v>
      </c>
      <c r="C72" s="3" t="str">
        <f t="shared" si="9"/>
        <v/>
      </c>
      <c r="D72" s="3" t="str">
        <f t="shared" si="9"/>
        <v/>
      </c>
      <c r="E72" s="3" t="str">
        <f t="shared" si="9"/>
        <v/>
      </c>
      <c r="F72" s="3" t="str">
        <f t="shared" si="9"/>
        <v/>
      </c>
      <c r="G72" s="3" t="str">
        <f t="shared" si="9"/>
        <v/>
      </c>
      <c r="H72" s="3" t="str">
        <f t="shared" si="9"/>
        <v/>
      </c>
    </row>
    <row r="73" spans="1:8" hidden="1" x14ac:dyDescent="0.2">
      <c r="A73" s="4" t="s">
        <v>81</v>
      </c>
      <c r="B73" s="3">
        <f t="shared" si="9"/>
        <v>2.6754399999999998E-4</v>
      </c>
      <c r="C73" s="3" t="str">
        <f t="shared" si="9"/>
        <v/>
      </c>
      <c r="D73" s="3" t="str">
        <f t="shared" si="9"/>
        <v/>
      </c>
      <c r="E73" s="3" t="str">
        <f t="shared" si="9"/>
        <v/>
      </c>
      <c r="F73" s="3" t="str">
        <f t="shared" si="9"/>
        <v/>
      </c>
      <c r="G73" s="3" t="str">
        <f t="shared" si="9"/>
        <v/>
      </c>
      <c r="H73" s="3" t="str">
        <f t="shared" si="9"/>
        <v/>
      </c>
    </row>
    <row r="74" spans="1:8" hidden="1" x14ac:dyDescent="0.2">
      <c r="A74" s="4" t="s">
        <v>82</v>
      </c>
      <c r="B74" s="3">
        <f t="shared" si="9"/>
        <v>2.70547E-4</v>
      </c>
      <c r="C74" s="3" t="str">
        <f t="shared" si="9"/>
        <v/>
      </c>
      <c r="D74" s="3" t="str">
        <f t="shared" si="9"/>
        <v/>
      </c>
      <c r="E74" s="3" t="str">
        <f t="shared" si="9"/>
        <v/>
      </c>
      <c r="F74" s="3" t="str">
        <f t="shared" si="9"/>
        <v/>
      </c>
      <c r="G74" s="3">
        <f t="shared" si="9"/>
        <v>0</v>
      </c>
      <c r="H74" s="3" t="str">
        <f t="shared" si="9"/>
        <v/>
      </c>
    </row>
    <row r="75" spans="1:8" hidden="1" x14ac:dyDescent="0.2">
      <c r="A75" s="4" t="s">
        <v>83</v>
      </c>
      <c r="B75" s="3">
        <f t="shared" ref="B75:H84" si="10">IF(LEFT(B29,1) = "&lt;",0, IF(ISBLANK(B29),"",B29))</f>
        <v>1.91416E-4</v>
      </c>
      <c r="C75" s="3" t="str">
        <f t="shared" si="10"/>
        <v/>
      </c>
      <c r="D75" s="3" t="str">
        <f t="shared" si="10"/>
        <v/>
      </c>
      <c r="E75" s="3" t="str">
        <f t="shared" si="10"/>
        <v/>
      </c>
      <c r="F75" s="3" t="str">
        <f t="shared" si="10"/>
        <v/>
      </c>
      <c r="G75" s="3" t="str">
        <f t="shared" si="10"/>
        <v/>
      </c>
      <c r="H75" s="3" t="str">
        <f t="shared" si="10"/>
        <v/>
      </c>
    </row>
    <row r="76" spans="1:8" hidden="1" x14ac:dyDescent="0.2">
      <c r="A76" s="4" t="s">
        <v>84</v>
      </c>
      <c r="B76" s="3">
        <f t="shared" si="10"/>
        <v>2.2300900000000001E-4</v>
      </c>
      <c r="C76" s="3" t="str">
        <f t="shared" si="10"/>
        <v/>
      </c>
      <c r="D76" s="3" t="str">
        <f t="shared" si="10"/>
        <v/>
      </c>
      <c r="E76" s="3" t="str">
        <f t="shared" si="10"/>
        <v/>
      </c>
      <c r="F76" s="3" t="str">
        <f t="shared" si="10"/>
        <v/>
      </c>
      <c r="G76" s="3" t="str">
        <f t="shared" si="10"/>
        <v/>
      </c>
      <c r="H76" s="3" t="str">
        <f t="shared" si="10"/>
        <v/>
      </c>
    </row>
    <row r="77" spans="1:8" hidden="1" x14ac:dyDescent="0.2">
      <c r="A77" s="4" t="s">
        <v>85</v>
      </c>
      <c r="B77" s="3">
        <f t="shared" si="10"/>
        <v>0</v>
      </c>
      <c r="C77" s="3" t="str">
        <f t="shared" si="10"/>
        <v/>
      </c>
      <c r="D77" s="3" t="str">
        <f t="shared" si="10"/>
        <v/>
      </c>
      <c r="E77" s="3" t="str">
        <f t="shared" si="10"/>
        <v/>
      </c>
      <c r="F77" s="3" t="str">
        <f t="shared" si="10"/>
        <v/>
      </c>
      <c r="G77" s="3" t="str">
        <f t="shared" si="10"/>
        <v/>
      </c>
      <c r="H77" s="3" t="str">
        <f t="shared" si="10"/>
        <v/>
      </c>
    </row>
    <row r="78" spans="1:8" hidden="1" x14ac:dyDescent="0.2">
      <c r="A78" s="4" t="s">
        <v>86</v>
      </c>
      <c r="B78" s="3">
        <f t="shared" si="10"/>
        <v>0</v>
      </c>
      <c r="C78" s="3" t="str">
        <f t="shared" si="10"/>
        <v/>
      </c>
      <c r="D78" s="3" t="str">
        <f t="shared" si="10"/>
        <v/>
      </c>
      <c r="E78" s="3" t="str">
        <f t="shared" si="10"/>
        <v/>
      </c>
      <c r="F78" s="3" t="str">
        <f t="shared" si="10"/>
        <v/>
      </c>
      <c r="G78" s="3" t="str">
        <f t="shared" si="10"/>
        <v/>
      </c>
      <c r="H78" s="3" t="str">
        <f t="shared" si="10"/>
        <v/>
      </c>
    </row>
    <row r="79" spans="1:8" hidden="1" x14ac:dyDescent="0.2">
      <c r="A79" s="4" t="s">
        <v>87</v>
      </c>
      <c r="B79" s="3">
        <f t="shared" si="10"/>
        <v>0</v>
      </c>
      <c r="C79" s="3" t="str">
        <f t="shared" si="10"/>
        <v/>
      </c>
      <c r="D79" s="3" t="str">
        <f t="shared" si="10"/>
        <v/>
      </c>
      <c r="E79" s="3" t="str">
        <f t="shared" si="10"/>
        <v/>
      </c>
      <c r="F79" s="3" t="str">
        <f t="shared" si="10"/>
        <v/>
      </c>
      <c r="G79" s="3" t="str">
        <f t="shared" si="10"/>
        <v/>
      </c>
      <c r="H79" s="3" t="str">
        <f t="shared" si="10"/>
        <v/>
      </c>
    </row>
    <row r="80" spans="1:8" hidden="1" x14ac:dyDescent="0.2">
      <c r="A80" s="4" t="s">
        <v>88</v>
      </c>
      <c r="B80" s="3">
        <f t="shared" si="10"/>
        <v>2.6711699999999998E-4</v>
      </c>
      <c r="C80" s="3" t="str">
        <f t="shared" si="10"/>
        <v/>
      </c>
      <c r="D80" s="3" t="str">
        <f t="shared" si="10"/>
        <v/>
      </c>
      <c r="E80" s="3" t="str">
        <f t="shared" si="10"/>
        <v/>
      </c>
      <c r="F80" s="3" t="str">
        <f t="shared" si="10"/>
        <v/>
      </c>
      <c r="G80" s="3" t="str">
        <f t="shared" si="10"/>
        <v/>
      </c>
      <c r="H80" s="3" t="str">
        <f t="shared" si="10"/>
        <v/>
      </c>
    </row>
    <row r="81" spans="1:8" hidden="1" x14ac:dyDescent="0.2">
      <c r="A81" s="4" t="s">
        <v>89</v>
      </c>
      <c r="B81" s="3">
        <f t="shared" si="10"/>
        <v>2.7959300000000002E-4</v>
      </c>
      <c r="C81" s="3" t="str">
        <f t="shared" si="10"/>
        <v/>
      </c>
      <c r="D81" s="3" t="str">
        <f t="shared" si="10"/>
        <v/>
      </c>
      <c r="E81" s="3" t="str">
        <f t="shared" si="10"/>
        <v/>
      </c>
      <c r="F81" s="3" t="str">
        <f t="shared" si="10"/>
        <v/>
      </c>
      <c r="G81" s="3" t="str">
        <f t="shared" si="10"/>
        <v/>
      </c>
      <c r="H81" s="3" t="str">
        <f t="shared" si="10"/>
        <v/>
      </c>
    </row>
    <row r="82" spans="1:8" hidden="1" x14ac:dyDescent="0.2">
      <c r="A82" s="4" t="s">
        <v>90</v>
      </c>
      <c r="B82" s="3">
        <f t="shared" si="10"/>
        <v>3.0762699999999999E-4</v>
      </c>
      <c r="C82" s="3" t="str">
        <f t="shared" si="10"/>
        <v/>
      </c>
      <c r="D82" s="3" t="str">
        <f t="shared" si="10"/>
        <v/>
      </c>
      <c r="E82" s="3" t="str">
        <f t="shared" si="10"/>
        <v/>
      </c>
      <c r="F82" s="3" t="str">
        <f t="shared" si="10"/>
        <v/>
      </c>
      <c r="G82" s="3" t="str">
        <f t="shared" si="10"/>
        <v/>
      </c>
      <c r="H82" s="3" t="str">
        <f t="shared" si="10"/>
        <v/>
      </c>
    </row>
    <row r="83" spans="1:8" hidden="1" x14ac:dyDescent="0.2">
      <c r="A83" s="4" t="s">
        <v>91</v>
      </c>
      <c r="B83" s="3">
        <f t="shared" si="10"/>
        <v>2.0734099999999999E-4</v>
      </c>
      <c r="C83" s="3" t="str">
        <f t="shared" si="10"/>
        <v/>
      </c>
      <c r="D83" s="3" t="str">
        <f t="shared" si="10"/>
        <v/>
      </c>
      <c r="E83" s="3" t="str">
        <f t="shared" si="10"/>
        <v/>
      </c>
      <c r="F83" s="3" t="str">
        <f t="shared" si="10"/>
        <v/>
      </c>
      <c r="G83" s="3" t="str">
        <f t="shared" si="10"/>
        <v/>
      </c>
      <c r="H83" s="3" t="str">
        <f t="shared" si="10"/>
        <v/>
      </c>
    </row>
    <row r="84" spans="1:8" hidden="1" x14ac:dyDescent="0.2">
      <c r="A84" s="4" t="s">
        <v>92</v>
      </c>
      <c r="B84" s="3">
        <f t="shared" si="10"/>
        <v>2.4630300000000002E-4</v>
      </c>
      <c r="C84" s="3" t="str">
        <f t="shared" si="10"/>
        <v/>
      </c>
      <c r="D84" s="3" t="str">
        <f t="shared" si="10"/>
        <v/>
      </c>
      <c r="E84" s="3" t="str">
        <f t="shared" si="10"/>
        <v/>
      </c>
      <c r="F84" s="3" t="str">
        <f t="shared" si="10"/>
        <v/>
      </c>
      <c r="G84" s="3" t="str">
        <f t="shared" si="10"/>
        <v/>
      </c>
      <c r="H84" s="3" t="str">
        <f t="shared" si="10"/>
        <v/>
      </c>
    </row>
    <row r="85" spans="1:8" hidden="1" x14ac:dyDescent="0.2">
      <c r="A85" s="4" t="s">
        <v>93</v>
      </c>
      <c r="B85" s="3">
        <f t="shared" ref="B85:H94" si="11">IF(LEFT(B39,1) = "&lt;",0, IF(ISBLANK(B39),"",B39))</f>
        <v>2.1315599999999999E-4</v>
      </c>
      <c r="C85" s="3" t="str">
        <f t="shared" si="11"/>
        <v/>
      </c>
      <c r="D85" s="3" t="str">
        <f t="shared" si="11"/>
        <v/>
      </c>
      <c r="E85" s="3" t="str">
        <f t="shared" si="11"/>
        <v/>
      </c>
      <c r="F85" s="3" t="str">
        <f t="shared" si="11"/>
        <v/>
      </c>
      <c r="G85" s="3" t="str">
        <f t="shared" si="11"/>
        <v/>
      </c>
      <c r="H85" s="3" t="str">
        <f t="shared" si="11"/>
        <v/>
      </c>
    </row>
    <row r="86" spans="1:8" hidden="1" x14ac:dyDescent="0.2">
      <c r="A86" s="4" t="s">
        <v>94</v>
      </c>
      <c r="B86" s="3">
        <f t="shared" si="11"/>
        <v>2.5018000000000002E-4</v>
      </c>
      <c r="C86" s="3" t="str">
        <f t="shared" si="11"/>
        <v/>
      </c>
      <c r="D86" s="3" t="str">
        <f t="shared" si="11"/>
        <v/>
      </c>
      <c r="E86" s="3" t="str">
        <f t="shared" si="11"/>
        <v/>
      </c>
      <c r="F86" s="3" t="str">
        <f t="shared" si="11"/>
        <v/>
      </c>
      <c r="G86" s="3" t="str">
        <f t="shared" si="11"/>
        <v/>
      </c>
      <c r="H86" s="3" t="str">
        <f t="shared" si="11"/>
        <v/>
      </c>
    </row>
    <row r="87" spans="1:8" hidden="1" x14ac:dyDescent="0.2">
      <c r="A87" s="4" t="s">
        <v>95</v>
      </c>
      <c r="B87" s="3">
        <f t="shared" si="11"/>
        <v>4.3566500000000001E-4</v>
      </c>
      <c r="C87" s="3" t="str">
        <f t="shared" si="11"/>
        <v/>
      </c>
      <c r="D87" s="3" t="str">
        <f t="shared" si="11"/>
        <v/>
      </c>
      <c r="E87" s="3" t="str">
        <f t="shared" si="11"/>
        <v/>
      </c>
      <c r="F87" s="3" t="str">
        <f t="shared" si="11"/>
        <v/>
      </c>
      <c r="G87" s="3" t="str">
        <f t="shared" si="11"/>
        <v/>
      </c>
      <c r="H87" s="3" t="str">
        <f t="shared" si="11"/>
        <v/>
      </c>
    </row>
    <row r="88" spans="1:8" hidden="1" x14ac:dyDescent="0.2">
      <c r="A88" s="4" t="s">
        <v>96</v>
      </c>
      <c r="B88" s="3">
        <f t="shared" si="11"/>
        <v>5.0525400000000001E-4</v>
      </c>
      <c r="C88" s="3" t="str">
        <f t="shared" si="11"/>
        <v/>
      </c>
      <c r="D88" s="3" t="str">
        <f t="shared" si="11"/>
        <v/>
      </c>
      <c r="E88" s="3" t="str">
        <f t="shared" si="11"/>
        <v/>
      </c>
      <c r="F88" s="3" t="str">
        <f t="shared" si="11"/>
        <v/>
      </c>
      <c r="G88" s="3" t="str">
        <f t="shared" si="11"/>
        <v/>
      </c>
      <c r="H88" s="3" t="str">
        <f t="shared" si="11"/>
        <v/>
      </c>
    </row>
    <row r="89" spans="1:8" hidden="1" x14ac:dyDescent="0.2">
      <c r="A89" s="4" t="s">
        <v>97</v>
      </c>
      <c r="B89" s="3">
        <f t="shared" si="11"/>
        <v>5.7238899999999997E-4</v>
      </c>
      <c r="C89" s="3" t="str">
        <f t="shared" si="11"/>
        <v/>
      </c>
      <c r="D89" s="3" t="str">
        <f t="shared" si="11"/>
        <v/>
      </c>
      <c r="E89" s="3" t="str">
        <f t="shared" si="11"/>
        <v/>
      </c>
      <c r="F89" s="3" t="str">
        <f t="shared" si="11"/>
        <v/>
      </c>
      <c r="G89" s="3" t="str">
        <f t="shared" si="11"/>
        <v/>
      </c>
      <c r="H89" s="3" t="str">
        <f t="shared" si="11"/>
        <v/>
      </c>
    </row>
    <row r="90" spans="1:8" hidden="1" x14ac:dyDescent="0.2">
      <c r="A90" s="4" t="s">
        <v>98</v>
      </c>
      <c r="B90" s="3">
        <f t="shared" si="11"/>
        <v>7.9682500000000003E-4</v>
      </c>
      <c r="C90" s="3" t="str">
        <f t="shared" si="11"/>
        <v/>
      </c>
      <c r="D90" s="3" t="str">
        <f t="shared" si="11"/>
        <v/>
      </c>
      <c r="E90" s="3" t="str">
        <f t="shared" si="11"/>
        <v/>
      </c>
      <c r="F90" s="3" t="str">
        <f t="shared" si="11"/>
        <v/>
      </c>
      <c r="G90" s="3" t="str">
        <f t="shared" si="11"/>
        <v/>
      </c>
      <c r="H90" s="3" t="str">
        <f t="shared" si="11"/>
        <v/>
      </c>
    </row>
    <row r="91" spans="1:8" hidden="1" x14ac:dyDescent="0.2">
      <c r="A91" s="4" t="s">
        <v>99</v>
      </c>
      <c r="B91" s="3">
        <f t="shared" si="11"/>
        <v>6.7674399999999996E-4</v>
      </c>
      <c r="C91" s="3" t="str">
        <f t="shared" si="11"/>
        <v/>
      </c>
      <c r="D91" s="3" t="str">
        <f t="shared" si="11"/>
        <v/>
      </c>
      <c r="E91" s="3" t="str">
        <f t="shared" si="11"/>
        <v/>
      </c>
      <c r="F91" s="3" t="str">
        <f t="shared" si="11"/>
        <v/>
      </c>
      <c r="G91" s="3" t="str">
        <f t="shared" si="11"/>
        <v/>
      </c>
      <c r="H91" s="3" t="str">
        <f t="shared" si="11"/>
        <v/>
      </c>
    </row>
    <row r="92" spans="1:8" hidden="1" x14ac:dyDescent="0.2">
      <c r="A92" s="4" t="s">
        <v>100</v>
      </c>
      <c r="B92" s="3">
        <f t="shared" si="11"/>
        <v>7.2143499999999998E-4</v>
      </c>
      <c r="C92" s="3" t="str">
        <f t="shared" si="11"/>
        <v/>
      </c>
      <c r="D92" s="3" t="str">
        <f t="shared" si="11"/>
        <v/>
      </c>
      <c r="E92" s="3" t="str">
        <f t="shared" si="11"/>
        <v/>
      </c>
      <c r="F92" s="3" t="str">
        <f t="shared" si="11"/>
        <v/>
      </c>
      <c r="G92" s="3" t="str">
        <f t="shared" si="11"/>
        <v/>
      </c>
      <c r="H92" s="3" t="str">
        <f t="shared" si="11"/>
        <v/>
      </c>
    </row>
    <row r="93" spans="1:8" hidden="1" x14ac:dyDescent="0.2">
      <c r="A93" s="4" t="s">
        <v>101</v>
      </c>
      <c r="B93" s="3">
        <f t="shared" si="11"/>
        <v>0</v>
      </c>
      <c r="C93" s="3" t="str">
        <f t="shared" si="11"/>
        <v/>
      </c>
      <c r="D93" s="3" t="str">
        <f t="shared" si="11"/>
        <v/>
      </c>
      <c r="E93" s="3" t="str">
        <f t="shared" si="11"/>
        <v/>
      </c>
      <c r="F93" s="3" t="str">
        <f t="shared" si="11"/>
        <v/>
      </c>
      <c r="G93" s="3" t="str">
        <f t="shared" si="11"/>
        <v/>
      </c>
      <c r="H93" s="3" t="str">
        <f t="shared" si="11"/>
        <v/>
      </c>
    </row>
    <row r="94" spans="1:8" hidden="1" x14ac:dyDescent="0.2">
      <c r="A94" s="4" t="s">
        <v>102</v>
      </c>
      <c r="B94" s="3">
        <f t="shared" si="11"/>
        <v>1.2829000000000001E-4</v>
      </c>
      <c r="C94" s="3" t="str">
        <f t="shared" si="11"/>
        <v/>
      </c>
      <c r="D94" s="3" t="str">
        <f t="shared" si="11"/>
        <v/>
      </c>
      <c r="E94" s="3" t="str">
        <f t="shared" si="11"/>
        <v/>
      </c>
      <c r="F94" s="3" t="str">
        <f t="shared" si="11"/>
        <v/>
      </c>
      <c r="G94" s="3" t="str">
        <f t="shared" si="11"/>
        <v/>
      </c>
      <c r="H94" s="3" t="str">
        <f t="shared" si="11"/>
        <v/>
      </c>
    </row>
    <row r="95" spans="1:8" hidden="1" x14ac:dyDescent="0.2">
      <c r="A95" s="4" t="s">
        <v>103</v>
      </c>
      <c r="B95" s="3">
        <f t="shared" ref="B95:H96" si="12">IF(LEFT(B49,1) = "&lt;",0, IF(ISBLANK(B49),"",B49))</f>
        <v>3.7828299999999998E-4</v>
      </c>
      <c r="C95" s="3" t="str">
        <f t="shared" si="12"/>
        <v/>
      </c>
      <c r="D95" s="3" t="str">
        <f t="shared" si="12"/>
        <v/>
      </c>
      <c r="E95" s="3" t="str">
        <f t="shared" si="12"/>
        <v/>
      </c>
      <c r="F95" s="3" t="str">
        <f t="shared" si="12"/>
        <v/>
      </c>
      <c r="G95" s="3" t="str">
        <f t="shared" si="12"/>
        <v/>
      </c>
      <c r="H95" s="3" t="str">
        <f t="shared" si="12"/>
        <v/>
      </c>
    </row>
    <row r="96" spans="1:8" x14ac:dyDescent="0.2">
      <c r="B96" s="3" t="str">
        <f t="shared" si="12"/>
        <v/>
      </c>
      <c r="C96" s="3" t="str">
        <f t="shared" si="12"/>
        <v/>
      </c>
      <c r="D96" s="3" t="str">
        <f t="shared" si="12"/>
        <v/>
      </c>
      <c r="E96" s="3" t="str">
        <f t="shared" si="12"/>
        <v/>
      </c>
      <c r="F96" s="3" t="str">
        <f t="shared" si="12"/>
        <v/>
      </c>
      <c r="G96" s="3" t="str">
        <f t="shared" si="12"/>
        <v/>
      </c>
      <c r="H96" s="3" t="str">
        <f t="shared" si="12"/>
        <v/>
      </c>
    </row>
  </sheetData>
  <sheetProtection password="FF4A" sheet="1"/>
  <mergeCells count="22">
    <mergeCell ref="G15"/>
    <mergeCell ref="G13:G14"/>
    <mergeCell ref="G10"/>
    <mergeCell ref="H15"/>
    <mergeCell ref="H13:H14"/>
    <mergeCell ref="H10"/>
    <mergeCell ref="B2:D3"/>
    <mergeCell ref="E1:G4"/>
    <mergeCell ref="B9:H9"/>
    <mergeCell ref="B15"/>
    <mergeCell ref="B13:B14"/>
    <mergeCell ref="B10"/>
    <mergeCell ref="C15"/>
    <mergeCell ref="C13:C14"/>
    <mergeCell ref="D15"/>
    <mergeCell ref="D13:D14"/>
    <mergeCell ref="C10:D10"/>
    <mergeCell ref="E15"/>
    <mergeCell ref="E13:E14"/>
    <mergeCell ref="F15"/>
    <mergeCell ref="F13:F14"/>
    <mergeCell ref="E10:F10"/>
  </mergeCells>
  <conditionalFormatting sqref="B15:H15">
    <cfRule type="containsText" dxfId="27" priority="1" operator="containsText" text="13">
      <formula>NOT(ISERROR(SEARCH("13",B15)))</formula>
    </cfRule>
    <cfRule type="expression" dxfId="26" priority="2">
      <formula>NOT(AND(SUM(B51)=0,ISBLANK(B15)))</formula>
    </cfRule>
  </conditionalFormatting>
  <dataValidations count="3">
    <dataValidation type="list" sqref="B15:H15" xr:uid="{00000000-0002-0000-01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G50" xr:uid="{00000000-0002-0000-0100-000001000000}">
      <formula1>OR(LEFT(B19:B50,1)= "&lt;", AND(ISNUMBER(B19:B50),B19:B50&gt;=0))</formula1>
    </dataValidation>
    <dataValidation type="decimal" allowBlank="1" showErrorMessage="1" errorTitle="PH" error="Please choose a value between 0 and 14. Select Retry to enter a diffferent value or select Cancel to clear the value." sqref="H19:H50" xr:uid="{00000000-0002-0000-0100-00000D000000}">
      <formula1>0</formula1>
      <formula2>14</formula2>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showGridLines="0" workbookViewId="0">
      <pane xSplit="1" ySplit="16" topLeftCell="B20" activePane="bottomRight" state="frozen"/>
      <selection pane="topRight" activeCell="B1" sqref="B1"/>
      <selection pane="bottomLeft" activeCell="A17" sqref="A17"/>
      <selection pane="bottomRight" activeCell="B13" sqref="B13:B14"/>
    </sheetView>
  </sheetViews>
  <sheetFormatPr defaultColWidth="9.140625" defaultRowHeight="11.25" x14ac:dyDescent="0.2"/>
  <cols>
    <col min="1" max="1" width="11.85546875" style="3" customWidth="1"/>
    <col min="2" max="2" width="15.2851562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104</v>
      </c>
    </row>
    <row r="6" spans="1:7" x14ac:dyDescent="0.2">
      <c r="A6" s="4" t="s">
        <v>12</v>
      </c>
      <c r="B6" s="3" t="str">
        <f>Cover!C13 &amp; "-" &amp; Cover!D13</f>
        <v>12-2025</v>
      </c>
    </row>
    <row r="7" spans="1:7" hidden="1" x14ac:dyDescent="0.2"/>
    <row r="8" spans="1:7" hidden="1" x14ac:dyDescent="0.2"/>
    <row r="9" spans="1:7" ht="33"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142782</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FVaUUvkw+Lx87F1kXdP3patoOc0U/jEQ747ecStnQ9qGfQJIBNYwsczK+L83bBD0HdWSRMVQd47QA1XhRf6Wcg==" saltValue="ATXJEgVH0STOHkjoxSxK/A==" spinCount="100000" sheet="1"/>
  <mergeCells count="6">
    <mergeCell ref="B2:D3"/>
    <mergeCell ref="E1:G4"/>
    <mergeCell ref="B9"/>
    <mergeCell ref="B15"/>
    <mergeCell ref="B13:B14"/>
    <mergeCell ref="B10"/>
  </mergeCells>
  <conditionalFormatting sqref="B15">
    <cfRule type="containsText" dxfId="25" priority="1" operator="containsText" text="13">
      <formula>NOT(ISERROR(SEARCH("13",B15)))</formula>
    </cfRule>
    <cfRule type="expression" dxfId="24" priority="2">
      <formula>NOT(AND(SUM(B51)=0,ISBLANK(B15)))</formula>
    </cfRule>
  </conditionalFormatting>
  <dataValidations count="2">
    <dataValidation type="list" sqref="B15" xr:uid="{00000000-0002-0000-02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2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6"/>
  <sheetViews>
    <sheetView showGridLines="0" workbookViewId="0">
      <pane xSplit="1" ySplit="16" topLeftCell="B17" activePane="bottomRight" state="frozen"/>
      <selection pane="topRight" activeCell="B1" sqref="B1"/>
      <selection pane="bottomLeft" activeCell="A17" sqref="A17"/>
      <selection pane="bottomRight" activeCell="C29" sqref="C29"/>
    </sheetView>
  </sheetViews>
  <sheetFormatPr defaultColWidth="9.140625" defaultRowHeight="11.25" x14ac:dyDescent="0.2"/>
  <cols>
    <col min="1" max="1" width="11.85546875" style="3" customWidth="1"/>
    <col min="2" max="2" width="1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109</v>
      </c>
    </row>
    <row r="6" spans="1:7" x14ac:dyDescent="0.2">
      <c r="A6" s="4" t="s">
        <v>12</v>
      </c>
      <c r="B6" s="3" t="str">
        <f>Cover!C13 &amp; "-" &amp; Cover!D13</f>
        <v>12-2025</v>
      </c>
    </row>
    <row r="7" spans="1:7" hidden="1" x14ac:dyDescent="0.2"/>
    <row r="8" spans="1:7" hidden="1" x14ac:dyDescent="0.2"/>
    <row r="9" spans="1:7" ht="35.450000000000003"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142784</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a4YcJucClkaw8BbltLec2jyW7h55LVEVMPRvyBPAF+RiesUwCOHmtqqq6BMAOr9OHYj+Ma68CK/xJIPCn7FqWQ==" saltValue="/EPqb7P+nSE7tiQsAwf7Aw==" spinCount="100000" sheet="1"/>
  <mergeCells count="6">
    <mergeCell ref="B2:D3"/>
    <mergeCell ref="E1:G4"/>
    <mergeCell ref="B9"/>
    <mergeCell ref="B15"/>
    <mergeCell ref="B13:B14"/>
    <mergeCell ref="B10"/>
  </mergeCells>
  <conditionalFormatting sqref="B15">
    <cfRule type="containsText" dxfId="23" priority="1" operator="containsText" text="13">
      <formula>NOT(ISERROR(SEARCH("13",B15)))</formula>
    </cfRule>
    <cfRule type="expression" dxfId="22" priority="2">
      <formula>NOT(AND(SUM(B51)=0,ISBLANK(B15)))</formula>
    </cfRule>
  </conditionalFormatting>
  <dataValidations count="2">
    <dataValidation type="list" sqref="B15" xr:uid="{00000000-0002-0000-03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3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96"/>
  <sheetViews>
    <sheetView showGridLines="0" workbookViewId="0">
      <pane xSplit="1" ySplit="16" topLeftCell="B17" activePane="bottomRight" state="frozen"/>
      <selection pane="topRight" activeCell="B1" sqref="B1"/>
      <selection pane="bottomLeft" activeCell="A17" sqref="A17"/>
      <selection pane="bottomRight" activeCell="B29" sqref="B29"/>
    </sheetView>
  </sheetViews>
  <sheetFormatPr defaultColWidth="9.140625" defaultRowHeight="11.25" x14ac:dyDescent="0.2"/>
  <cols>
    <col min="1" max="1" width="11.85546875" style="3" customWidth="1"/>
    <col min="2" max="2" width="15.710937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110</v>
      </c>
    </row>
    <row r="6" spans="1:7" x14ac:dyDescent="0.2">
      <c r="A6" s="4" t="s">
        <v>12</v>
      </c>
      <c r="B6" s="3" t="str">
        <f>Cover!C13 &amp; "-" &amp; Cover!D13</f>
        <v>12-2025</v>
      </c>
    </row>
    <row r="7" spans="1:7" hidden="1" x14ac:dyDescent="0.2"/>
    <row r="8" spans="1:7" hidden="1" x14ac:dyDescent="0.2"/>
    <row r="9" spans="1:7" ht="35.450000000000003"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142775</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qAZhzPDDy1V43Wxa2fCYokohhZOTJIh9AoYwOnNB3b4Ev1bfHAjcee77DFTAPDGO++bNQunTr89kFIxwvq956w==" saltValue="P3bYEqP/CJOzki3P55gt2g==" spinCount="100000" sheet="1"/>
  <mergeCells count="6">
    <mergeCell ref="B2:D3"/>
    <mergeCell ref="E1:G4"/>
    <mergeCell ref="B9"/>
    <mergeCell ref="B15"/>
    <mergeCell ref="B13:B14"/>
    <mergeCell ref="B10"/>
  </mergeCells>
  <conditionalFormatting sqref="B15">
    <cfRule type="containsText" dxfId="21" priority="1" operator="containsText" text="13">
      <formula>NOT(ISERROR(SEARCH("13",B15)))</formula>
    </cfRule>
    <cfRule type="expression" dxfId="20" priority="2">
      <formula>NOT(AND(SUM(B51)=0,ISBLANK(B15)))</formula>
    </cfRule>
  </conditionalFormatting>
  <dataValidations count="2">
    <dataValidation type="list" sqref="B15" xr:uid="{00000000-0002-0000-04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4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96"/>
  <sheetViews>
    <sheetView showGridLines="0" zoomScale="120" zoomScaleNormal="120" workbookViewId="0">
      <pane xSplit="1" ySplit="16" topLeftCell="B19" activePane="bottomRight" state="frozen"/>
      <selection pane="topRight" activeCell="B1" sqref="B1"/>
      <selection pane="bottomLeft" activeCell="A17" sqref="A17"/>
      <selection pane="bottomRight" activeCell="C48" sqref="C48"/>
    </sheetView>
  </sheetViews>
  <sheetFormatPr defaultColWidth="9.140625" defaultRowHeight="11.25" x14ac:dyDescent="0.2"/>
  <cols>
    <col min="1" max="1" width="11.85546875" style="3" customWidth="1"/>
    <col min="2" max="2" width="14" style="3" customWidth="1"/>
    <col min="3" max="4" width="16.42578125" style="3" customWidth="1"/>
    <col min="5" max="6" width="14" style="3" customWidth="1"/>
    <col min="7" max="7" width="15.2851562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111</v>
      </c>
    </row>
    <row r="6" spans="1:7" x14ac:dyDescent="0.2">
      <c r="A6" s="4" t="s">
        <v>12</v>
      </c>
      <c r="B6" s="3" t="str">
        <f>Cover!C13 &amp; "-" &amp; Cover!D13</f>
        <v>12-2025</v>
      </c>
    </row>
    <row r="7" spans="1:7" hidden="1" x14ac:dyDescent="0.2"/>
    <row r="8" spans="1:7" hidden="1" x14ac:dyDescent="0.2"/>
    <row r="9" spans="1:7" ht="34.9" customHeight="1" x14ac:dyDescent="0.2">
      <c r="A9" s="16" t="s">
        <v>39</v>
      </c>
      <c r="B9" s="46" t="s">
        <v>112</v>
      </c>
      <c r="C9" s="47" t="s">
        <v>112</v>
      </c>
      <c r="D9" s="47" t="s">
        <v>112</v>
      </c>
      <c r="E9" s="47" t="s">
        <v>112</v>
      </c>
      <c r="F9" s="48" t="s">
        <v>112</v>
      </c>
      <c r="G9" s="52" t="s">
        <v>105</v>
      </c>
    </row>
    <row r="10" spans="1:7" x14ac:dyDescent="0.2">
      <c r="A10" s="17" t="s">
        <v>41</v>
      </c>
      <c r="B10" s="52" t="s">
        <v>42</v>
      </c>
      <c r="C10" s="46" t="s">
        <v>44</v>
      </c>
      <c r="D10" s="48" t="s">
        <v>44</v>
      </c>
      <c r="E10" s="52" t="s">
        <v>45</v>
      </c>
      <c r="F10" s="52" t="s">
        <v>46</v>
      </c>
      <c r="G10" s="52" t="s">
        <v>106</v>
      </c>
    </row>
    <row r="11" spans="1:7" x14ac:dyDescent="0.2">
      <c r="A11" s="17" t="s">
        <v>47</v>
      </c>
      <c r="B11" s="5" t="s">
        <v>48</v>
      </c>
      <c r="C11" s="5" t="s">
        <v>49</v>
      </c>
      <c r="D11" s="5" t="s">
        <v>50</v>
      </c>
      <c r="E11" s="5" t="s">
        <v>51</v>
      </c>
      <c r="F11" s="5" t="s">
        <v>52</v>
      </c>
      <c r="G11" s="23" t="s">
        <v>107</v>
      </c>
    </row>
    <row r="12" spans="1:7" x14ac:dyDescent="0.2">
      <c r="A12" s="17" t="s">
        <v>53</v>
      </c>
      <c r="B12" s="9" t="s">
        <v>54</v>
      </c>
      <c r="C12" s="9" t="s">
        <v>55</v>
      </c>
      <c r="D12" s="9" t="s">
        <v>55</v>
      </c>
      <c r="E12" s="9" t="s">
        <v>54</v>
      </c>
      <c r="F12" s="9" t="s">
        <v>54</v>
      </c>
      <c r="G12" s="24" t="s">
        <v>108</v>
      </c>
    </row>
    <row r="13" spans="1:7" x14ac:dyDescent="0.2">
      <c r="A13" s="17" t="s">
        <v>56</v>
      </c>
      <c r="B13" s="50" t="s">
        <v>57</v>
      </c>
      <c r="C13" s="50" t="s">
        <v>57</v>
      </c>
      <c r="D13" s="50" t="s">
        <v>57</v>
      </c>
      <c r="E13" s="50" t="s">
        <v>57</v>
      </c>
      <c r="F13" s="50" t="s">
        <v>57</v>
      </c>
      <c r="G13" s="54" t="s">
        <v>57</v>
      </c>
    </row>
    <row r="14" spans="1:7" x14ac:dyDescent="0.2">
      <c r="A14" s="17" t="s">
        <v>58</v>
      </c>
      <c r="B14" s="51" t="s">
        <v>57</v>
      </c>
      <c r="C14" s="51" t="s">
        <v>57</v>
      </c>
      <c r="D14" s="51" t="s">
        <v>57</v>
      </c>
      <c r="E14" s="51" t="s">
        <v>57</v>
      </c>
      <c r="F14" s="51" t="s">
        <v>57</v>
      </c>
      <c r="G14" s="55" t="s">
        <v>57</v>
      </c>
    </row>
    <row r="15" spans="1:7" x14ac:dyDescent="0.2">
      <c r="A15" s="17" t="s">
        <v>59</v>
      </c>
      <c r="B15" s="49"/>
      <c r="C15" s="49"/>
      <c r="D15" s="49"/>
      <c r="E15" s="49"/>
      <c r="F15" s="49"/>
      <c r="G15" s="53"/>
    </row>
    <row r="16" spans="1:7" x14ac:dyDescent="0.2">
      <c r="A16" s="18" t="s">
        <v>60</v>
      </c>
      <c r="B16" s="12"/>
      <c r="C16" s="12"/>
      <c r="D16" s="12"/>
      <c r="E16" s="12"/>
      <c r="F16" s="12"/>
      <c r="G16" s="25"/>
    </row>
    <row r="17" spans="1:7" hidden="1" x14ac:dyDescent="0.2">
      <c r="A17" s="17" t="s">
        <v>61</v>
      </c>
      <c r="B17" s="6">
        <v>142686</v>
      </c>
      <c r="C17" s="6">
        <v>142768</v>
      </c>
      <c r="D17" s="6">
        <v>142768</v>
      </c>
      <c r="E17" s="6">
        <v>144290</v>
      </c>
      <c r="F17" s="6">
        <v>142687</v>
      </c>
      <c r="G17" s="26">
        <v>142785</v>
      </c>
    </row>
    <row r="18" spans="1:7" hidden="1" x14ac:dyDescent="0.2">
      <c r="A18" s="17" t="s">
        <v>62</v>
      </c>
      <c r="B18" s="6">
        <v>157</v>
      </c>
      <c r="C18" s="6">
        <v>162</v>
      </c>
      <c r="D18" s="6">
        <v>164</v>
      </c>
      <c r="E18" s="6">
        <v>159</v>
      </c>
      <c r="F18" s="6">
        <v>156</v>
      </c>
      <c r="G18" s="26">
        <v>835</v>
      </c>
    </row>
    <row r="19" spans="1:7" x14ac:dyDescent="0.2">
      <c r="A19" s="19" t="s">
        <v>63</v>
      </c>
      <c r="B19" s="7">
        <v>1.36</v>
      </c>
      <c r="C19" s="7">
        <v>0.01</v>
      </c>
      <c r="D19" s="11">
        <f>IF(LEFT(C19,1)="&lt;","&lt;",IF(AND(ISNUMBER('009-EFFLUENT'!B65),ISNUMBER(C65)),SUM(('009-EFFLUENT'!B65 *  C65) * 8.34),""))</f>
        <v>0.11342400000000001</v>
      </c>
      <c r="E19" s="7"/>
      <c r="F19" s="7">
        <v>1</v>
      </c>
      <c r="G19" s="27"/>
    </row>
    <row r="20" spans="1:7" x14ac:dyDescent="0.2">
      <c r="A20" s="19">
        <v>2</v>
      </c>
      <c r="B20" s="7">
        <v>3.39</v>
      </c>
      <c r="C20" s="7">
        <v>0.03</v>
      </c>
      <c r="D20" s="11">
        <f>IF(LEFT(C20,1)="&lt;","&lt;",IF(AND(ISNUMBER('009-EFFLUENT'!B66),ISNUMBER(C66)),SUM(('009-EFFLUENT'!B66 *  C66) * 8.34),""))</f>
        <v>0.84817799999999999</v>
      </c>
      <c r="E20" s="7"/>
      <c r="F20" s="7">
        <v>6.99</v>
      </c>
      <c r="G20" s="27"/>
    </row>
    <row r="21" spans="1:7" x14ac:dyDescent="0.2">
      <c r="A21" s="19">
        <v>3</v>
      </c>
      <c r="B21" s="7">
        <v>2.92</v>
      </c>
      <c r="C21" s="7">
        <v>0.06</v>
      </c>
      <c r="D21" s="11">
        <f>IF(LEFT(C21,1)="&lt;","&lt;",IF(AND(ISNUMBER('009-EFFLUENT'!B67),ISNUMBER(C67)),SUM(('009-EFFLUENT'!B67 *  C67) * 8.34),""))</f>
        <v>1.461168</v>
      </c>
      <c r="E21" s="7"/>
      <c r="F21" s="7">
        <v>8.83</v>
      </c>
      <c r="G21" s="27"/>
    </row>
    <row r="22" spans="1:7" x14ac:dyDescent="0.2">
      <c r="A22" s="19">
        <v>4</v>
      </c>
      <c r="B22" s="7">
        <v>6.4</v>
      </c>
      <c r="C22" s="7">
        <v>0.04</v>
      </c>
      <c r="D22" s="11">
        <f>IF(LEFT(C22,1)="&lt;","&lt;",IF(AND(ISNUMBER('009-EFFLUENT'!B68),ISNUMBER(C68)),SUM(('009-EFFLUENT'!B68 *  C68) * 8.34),""))</f>
        <v>2.13504</v>
      </c>
      <c r="E22" s="7"/>
      <c r="F22" s="7">
        <v>8.75</v>
      </c>
      <c r="G22" s="27"/>
    </row>
    <row r="23" spans="1:7" x14ac:dyDescent="0.2">
      <c r="A23" s="19">
        <v>5</v>
      </c>
      <c r="B23" s="7">
        <v>1.75</v>
      </c>
      <c r="C23" s="7">
        <v>0.03</v>
      </c>
      <c r="D23" s="11">
        <f>IF(LEFT(C23,1)="&lt;","&lt;",IF(AND(ISNUMBER('009-EFFLUENT'!B69),ISNUMBER(C69)),SUM(('009-EFFLUENT'!B69 *  C69) * 8.34),""))</f>
        <v>0.43784999999999996</v>
      </c>
      <c r="E23" s="7"/>
      <c r="F23" s="7">
        <v>6.7</v>
      </c>
      <c r="G23" s="27"/>
    </row>
    <row r="24" spans="1:7" x14ac:dyDescent="0.2">
      <c r="A24" s="19">
        <v>6</v>
      </c>
      <c r="B24" s="7">
        <v>1.68</v>
      </c>
      <c r="C24" s="7">
        <v>0.08</v>
      </c>
      <c r="D24" s="11">
        <f>IF(LEFT(C24,1)="&lt;","&lt;",IF(AND(ISNUMBER('009-EFFLUENT'!B70),ISNUMBER(C70)),SUM(('009-EFFLUENT'!B70 *  C70) * 8.34),""))</f>
        <v>1.1208959999999999</v>
      </c>
      <c r="E24" s="7"/>
      <c r="F24" s="7">
        <v>7.9</v>
      </c>
      <c r="G24" s="27"/>
    </row>
    <row r="25" spans="1:7" x14ac:dyDescent="0.2">
      <c r="A25" s="20">
        <v>7</v>
      </c>
      <c r="B25" s="12">
        <v>5.53</v>
      </c>
      <c r="C25" s="12">
        <v>0.05</v>
      </c>
      <c r="D25" s="14">
        <f>IF(LEFT(C25,1)="&lt;","&lt;",IF(AND(ISNUMBER('009-EFFLUENT'!B71),ISNUMBER(C71)),SUM(('009-EFFLUENT'!B71 *  C71) * 8.34),""))</f>
        <v>2.3060100000000001</v>
      </c>
      <c r="E25" s="12"/>
      <c r="F25" s="12">
        <v>7.5</v>
      </c>
      <c r="G25" s="25"/>
    </row>
    <row r="26" spans="1:7" x14ac:dyDescent="0.2">
      <c r="A26" s="19">
        <v>8</v>
      </c>
      <c r="B26" s="7">
        <v>3.75</v>
      </c>
      <c r="C26" s="7">
        <v>0.02</v>
      </c>
      <c r="D26" s="11">
        <f>IF(LEFT(C26,1)="&lt;","&lt;",IF(AND(ISNUMBER('009-EFFLUENT'!B72),ISNUMBER(C72)),SUM(('009-EFFLUENT'!B72 *  C72) * 8.34),""))</f>
        <v>0.62549999999999994</v>
      </c>
      <c r="E26" s="7"/>
      <c r="F26" s="7">
        <v>7.2</v>
      </c>
      <c r="G26" s="27"/>
    </row>
    <row r="27" spans="1:7" x14ac:dyDescent="0.2">
      <c r="A27" s="19">
        <v>9</v>
      </c>
      <c r="B27" s="7">
        <v>0.88</v>
      </c>
      <c r="C27" s="7">
        <v>0.04</v>
      </c>
      <c r="D27" s="11">
        <f>IF(LEFT(C27,1)="&lt;","&lt;",IF(AND(ISNUMBER('009-EFFLUENT'!B73),ISNUMBER(C73)),SUM(('009-EFFLUENT'!B73 *  C73) * 8.34),""))</f>
        <v>0.293568</v>
      </c>
      <c r="E27" s="7"/>
      <c r="F27" s="7">
        <v>7.2</v>
      </c>
      <c r="G27" s="27"/>
    </row>
    <row r="28" spans="1:7" x14ac:dyDescent="0.2">
      <c r="A28" s="19">
        <v>10</v>
      </c>
      <c r="B28" s="7">
        <v>3.04</v>
      </c>
      <c r="C28" s="7">
        <v>0.04</v>
      </c>
      <c r="D28" s="11">
        <f>IF(LEFT(C28,1)="&lt;","&lt;",IF(AND(ISNUMBER('009-EFFLUENT'!B74),ISNUMBER(C74)),SUM(('009-EFFLUENT'!B74 *  C74) * 8.34),""))</f>
        <v>1.0141439999999999</v>
      </c>
      <c r="E28" s="7">
        <v>49.87</v>
      </c>
      <c r="F28" s="7">
        <v>7</v>
      </c>
      <c r="G28" s="27">
        <v>1</v>
      </c>
    </row>
    <row r="29" spans="1:7" x14ac:dyDescent="0.2">
      <c r="A29" s="19">
        <v>11</v>
      </c>
      <c r="B29" s="7">
        <v>4.5199999999999996</v>
      </c>
      <c r="C29" s="7">
        <v>0.05</v>
      </c>
      <c r="D29" s="11">
        <f>IF(LEFT(C29,1)="&lt;","&lt;",IF(AND(ISNUMBER('009-EFFLUENT'!B75),ISNUMBER(C75)),SUM(('009-EFFLUENT'!B75 *  C75) * 8.34),""))</f>
        <v>1.8848399999999998</v>
      </c>
      <c r="E29" s="7"/>
      <c r="F29" s="7">
        <v>6.21</v>
      </c>
      <c r="G29" s="27"/>
    </row>
    <row r="30" spans="1:7" x14ac:dyDescent="0.2">
      <c r="A30" s="19">
        <v>12</v>
      </c>
      <c r="B30" s="7">
        <v>4.95</v>
      </c>
      <c r="C30" s="7">
        <v>0.03</v>
      </c>
      <c r="D30" s="11">
        <f>IF(LEFT(C30,1)="&lt;","&lt;",IF(AND(ISNUMBER('009-EFFLUENT'!B76),ISNUMBER(C76)),SUM(('009-EFFLUENT'!B76 *  C76) * 8.34),""))</f>
        <v>1.2384899999999999</v>
      </c>
      <c r="E30" s="7"/>
      <c r="F30" s="7">
        <v>6.7</v>
      </c>
      <c r="G30" s="27"/>
    </row>
    <row r="31" spans="1:7" x14ac:dyDescent="0.2">
      <c r="A31" s="19">
        <v>13</v>
      </c>
      <c r="B31" s="7">
        <v>4.09</v>
      </c>
      <c r="C31" s="7">
        <v>0.02</v>
      </c>
      <c r="D31" s="11">
        <f>IF(LEFT(C31,1)="&lt;","&lt;",IF(AND(ISNUMBER('009-EFFLUENT'!B77),ISNUMBER(C77)),SUM(('009-EFFLUENT'!B77 *  C77) * 8.34),""))</f>
        <v>0.68221199999999993</v>
      </c>
      <c r="E31" s="7"/>
      <c r="F31" s="7">
        <v>7</v>
      </c>
      <c r="G31" s="27"/>
    </row>
    <row r="32" spans="1:7" x14ac:dyDescent="0.2">
      <c r="A32" s="20">
        <v>14</v>
      </c>
      <c r="B32" s="12">
        <v>4.1500000000000004</v>
      </c>
      <c r="C32" s="12">
        <v>0.02</v>
      </c>
      <c r="D32" s="14">
        <f>IF(LEFT(C32,1)="&lt;","&lt;",IF(AND(ISNUMBER('009-EFFLUENT'!B78),ISNUMBER(C78)),SUM(('009-EFFLUENT'!B78 *  C78) * 8.34),""))</f>
        <v>0.69222000000000006</v>
      </c>
      <c r="E32" s="12"/>
      <c r="F32" s="12">
        <v>7.1</v>
      </c>
      <c r="G32" s="25"/>
    </row>
    <row r="33" spans="1:7" x14ac:dyDescent="0.2">
      <c r="A33" s="19">
        <v>15</v>
      </c>
      <c r="B33" s="7">
        <v>2.2999999999999998</v>
      </c>
      <c r="C33" s="7">
        <v>0.03</v>
      </c>
      <c r="D33" s="11">
        <f>IF(LEFT(C33,1)="&lt;","&lt;",IF(AND(ISNUMBER('009-EFFLUENT'!B79),ISNUMBER(C79)),SUM(('009-EFFLUENT'!B79 *  C79) * 8.34),""))</f>
        <v>0.57545999999999997</v>
      </c>
      <c r="E33" s="7"/>
      <c r="F33" s="7">
        <v>7.3</v>
      </c>
      <c r="G33" s="27"/>
    </row>
    <row r="34" spans="1:7" x14ac:dyDescent="0.2">
      <c r="A34" s="19">
        <v>16</v>
      </c>
      <c r="B34" s="7">
        <v>1.94</v>
      </c>
      <c r="C34" s="7">
        <v>0.02</v>
      </c>
      <c r="D34" s="11">
        <f>IF(LEFT(C34,1)="&lt;","&lt;",IF(AND(ISNUMBER('009-EFFLUENT'!B80),ISNUMBER(C80)),SUM(('009-EFFLUENT'!B80 *  C80) * 8.34),""))</f>
        <v>0.32359199999999999</v>
      </c>
      <c r="E34" s="7"/>
      <c r="F34" s="7">
        <v>7</v>
      </c>
      <c r="G34" s="27"/>
    </row>
    <row r="35" spans="1:7" x14ac:dyDescent="0.2">
      <c r="A35" s="19">
        <v>17</v>
      </c>
      <c r="B35" s="7">
        <v>1.64</v>
      </c>
      <c r="C35" s="7">
        <v>0.02</v>
      </c>
      <c r="D35" s="11">
        <f>IF(LEFT(C35,1)="&lt;","&lt;",IF(AND(ISNUMBER('009-EFFLUENT'!B81),ISNUMBER(C81)),SUM(('009-EFFLUENT'!B81 *  C81) * 8.34),""))</f>
        <v>0.27355199999999996</v>
      </c>
      <c r="E35" s="7"/>
      <c r="F35" s="7">
        <v>7.1</v>
      </c>
      <c r="G35" s="27"/>
    </row>
    <row r="36" spans="1:7" x14ac:dyDescent="0.2">
      <c r="A36" s="19">
        <v>18</v>
      </c>
      <c r="B36" s="7">
        <v>2.13</v>
      </c>
      <c r="C36" s="7">
        <v>0.04</v>
      </c>
      <c r="D36" s="11">
        <f>IF(LEFT(C36,1)="&lt;","&lt;",IF(AND(ISNUMBER('009-EFFLUENT'!B82),ISNUMBER(C82)),SUM(('009-EFFLUENT'!B82 *  C82) * 8.34),""))</f>
        <v>0.71056799999999998</v>
      </c>
      <c r="E36" s="7"/>
      <c r="F36" s="7">
        <v>7.3</v>
      </c>
      <c r="G36" s="27"/>
    </row>
    <row r="37" spans="1:7" x14ac:dyDescent="0.2">
      <c r="A37" s="19">
        <v>19</v>
      </c>
      <c r="B37" s="7">
        <v>9.2899999999999991</v>
      </c>
      <c r="C37" s="7">
        <v>0.04</v>
      </c>
      <c r="D37" s="11">
        <f>IF(LEFT(C37,1)="&lt;","&lt;",IF(AND(ISNUMBER('009-EFFLUENT'!B83),ISNUMBER(C83)),SUM(('009-EFFLUENT'!B83 *  C83) * 8.34),""))</f>
        <v>3.0991439999999999</v>
      </c>
      <c r="E37" s="7"/>
      <c r="F37" s="7">
        <v>7.2</v>
      </c>
      <c r="G37" s="27"/>
    </row>
    <row r="38" spans="1:7" x14ac:dyDescent="0.2">
      <c r="A38" s="19">
        <v>20</v>
      </c>
      <c r="B38" s="7">
        <v>6.91</v>
      </c>
      <c r="C38" s="7">
        <v>0.05</v>
      </c>
      <c r="D38" s="11">
        <f>IF(LEFT(C38,1)="&lt;","&lt;",IF(AND(ISNUMBER('009-EFFLUENT'!B84),ISNUMBER(C84)),SUM(('009-EFFLUENT'!B84 *  C84) * 8.34),""))</f>
        <v>2.8814700000000002</v>
      </c>
      <c r="E38" s="7"/>
      <c r="F38" s="7">
        <v>6.9</v>
      </c>
      <c r="G38" s="27"/>
    </row>
    <row r="39" spans="1:7" x14ac:dyDescent="0.2">
      <c r="A39" s="20">
        <v>21</v>
      </c>
      <c r="B39" s="12">
        <v>10.88</v>
      </c>
      <c r="C39" s="12">
        <v>0.03</v>
      </c>
      <c r="D39" s="14">
        <f>IF(LEFT(C39,1)="&lt;","&lt;",IF(AND(ISNUMBER('009-EFFLUENT'!B85),ISNUMBER(C85)),SUM(('009-EFFLUENT'!B85 *  C85) * 8.34),""))</f>
        <v>2.7221760000000002</v>
      </c>
      <c r="E39" s="12"/>
      <c r="F39" s="12">
        <v>7.1</v>
      </c>
      <c r="G39" s="25"/>
    </row>
    <row r="40" spans="1:7" x14ac:dyDescent="0.2">
      <c r="A40" s="19">
        <v>22</v>
      </c>
      <c r="B40" s="7">
        <v>6.71</v>
      </c>
      <c r="C40" s="7">
        <v>0.06</v>
      </c>
      <c r="D40" s="11">
        <f>IF(LEFT(C40,1)="&lt;","&lt;",IF(AND(ISNUMBER('009-EFFLUENT'!B86),ISNUMBER(C86)),SUM(('009-EFFLUENT'!B86 *  C86) * 8.34),""))</f>
        <v>3.3576839999999994</v>
      </c>
      <c r="E40" s="7"/>
      <c r="F40" s="7">
        <v>7.3</v>
      </c>
      <c r="G40" s="27"/>
    </row>
    <row r="41" spans="1:7" x14ac:dyDescent="0.2">
      <c r="A41" s="19">
        <v>23</v>
      </c>
      <c r="B41" s="7">
        <v>7.99</v>
      </c>
      <c r="C41" s="7">
        <v>0.05</v>
      </c>
      <c r="D41" s="11">
        <f>IF(LEFT(C41,1)="&lt;","&lt;",IF(AND(ISNUMBER('009-EFFLUENT'!B87),ISNUMBER(C87)),SUM(('009-EFFLUENT'!B87 *  C87) * 8.34),""))</f>
        <v>3.3318300000000001</v>
      </c>
      <c r="E41" s="7"/>
      <c r="F41" s="7">
        <v>7.2</v>
      </c>
      <c r="G41" s="27"/>
    </row>
    <row r="42" spans="1:7" x14ac:dyDescent="0.2">
      <c r="A42" s="19">
        <v>24</v>
      </c>
      <c r="B42" s="7">
        <v>8.27</v>
      </c>
      <c r="C42" s="7">
        <v>0.03</v>
      </c>
      <c r="D42" s="11">
        <f>IF(LEFT(C42,1)="&lt;","&lt;",IF(AND(ISNUMBER('009-EFFLUENT'!B88),ISNUMBER(C88)),SUM(('009-EFFLUENT'!B88 *  C88) * 8.34),""))</f>
        <v>2.0691539999999997</v>
      </c>
      <c r="E42" s="7"/>
      <c r="F42" s="7">
        <v>7</v>
      </c>
      <c r="G42" s="27"/>
    </row>
    <row r="43" spans="1:7" x14ac:dyDescent="0.2">
      <c r="A43" s="19">
        <v>25</v>
      </c>
      <c r="B43" s="7">
        <v>2.66</v>
      </c>
      <c r="C43" s="7">
        <v>0.04</v>
      </c>
      <c r="D43" s="11">
        <f>IF(LEFT(C43,1)="&lt;","&lt;",IF(AND(ISNUMBER('009-EFFLUENT'!B89),ISNUMBER(C89)),SUM(('009-EFFLUENT'!B89 *  C89) * 8.34),""))</f>
        <v>0.88737600000000005</v>
      </c>
      <c r="E43" s="7"/>
      <c r="F43" s="7">
        <v>6.9</v>
      </c>
      <c r="G43" s="27"/>
    </row>
    <row r="44" spans="1:7" x14ac:dyDescent="0.2">
      <c r="A44" s="19">
        <v>26</v>
      </c>
      <c r="B44" s="7">
        <v>3.53</v>
      </c>
      <c r="C44" s="7">
        <v>0.05</v>
      </c>
      <c r="D44" s="11">
        <f>IF(LEFT(C44,1)="&lt;","&lt;",IF(AND(ISNUMBER('009-EFFLUENT'!B90),ISNUMBER(C90)),SUM(('009-EFFLUENT'!B90 *  C90) * 8.34),""))</f>
        <v>1.4720099999999998</v>
      </c>
      <c r="E44" s="7"/>
      <c r="F44" s="7">
        <v>7</v>
      </c>
      <c r="G44" s="27"/>
    </row>
    <row r="45" spans="1:7" x14ac:dyDescent="0.2">
      <c r="A45" s="19">
        <v>27</v>
      </c>
      <c r="B45" s="7">
        <v>4.8600000000000003</v>
      </c>
      <c r="C45" s="7">
        <v>0.01</v>
      </c>
      <c r="D45" s="11">
        <f>IF(LEFT(C45,1)="&lt;","&lt;",IF(AND(ISNUMBER('009-EFFLUENT'!B91),ISNUMBER(C91)),SUM(('009-EFFLUENT'!B91 *  C91) * 8.34),""))</f>
        <v>0.40532400000000002</v>
      </c>
      <c r="E45" s="7"/>
      <c r="F45" s="7">
        <v>6.9</v>
      </c>
      <c r="G45" s="27"/>
    </row>
    <row r="46" spans="1:7" x14ac:dyDescent="0.2">
      <c r="A46" s="20">
        <v>28</v>
      </c>
      <c r="B46" s="12">
        <v>2.11</v>
      </c>
      <c r="C46" s="12">
        <v>0.01</v>
      </c>
      <c r="D46" s="14">
        <f>IF(LEFT(C46,1)="&lt;","&lt;",IF(AND(ISNUMBER('009-EFFLUENT'!B92),ISNUMBER(C92)),SUM(('009-EFFLUENT'!B92 *  C92) * 8.34),""))</f>
        <v>0.17597399999999999</v>
      </c>
      <c r="E46" s="12"/>
      <c r="F46" s="12">
        <v>6.6</v>
      </c>
      <c r="G46" s="25"/>
    </row>
    <row r="47" spans="1:7" x14ac:dyDescent="0.2">
      <c r="A47" s="19">
        <v>29</v>
      </c>
      <c r="B47" s="7">
        <v>4.9400000000000004</v>
      </c>
      <c r="C47" s="7">
        <v>7.0000000000000007E-2</v>
      </c>
      <c r="D47" s="11">
        <f>IF(LEFT(C47,1)="&lt;","&lt;",IF(AND(ISNUMBER('009-EFFLUENT'!B93),ISNUMBER(C93)),SUM(('009-EFFLUENT'!B93 *  C93) * 8.34),""))</f>
        <v>2.8839720000000004</v>
      </c>
      <c r="E47" s="7"/>
      <c r="F47" s="7">
        <v>8.26</v>
      </c>
      <c r="G47" s="27"/>
    </row>
    <row r="48" spans="1:7" x14ac:dyDescent="0.2">
      <c r="A48" s="19">
        <v>30</v>
      </c>
      <c r="B48" s="7">
        <v>2.99</v>
      </c>
      <c r="C48" s="7">
        <v>0</v>
      </c>
      <c r="D48" s="11">
        <f>IF(LEFT(C48,1)="&lt;","&lt;",IF(AND(ISNUMBER('009-EFFLUENT'!B94),ISNUMBER(C94)),SUM(('009-EFFLUENT'!B94 *  C94) * 8.34),""))</f>
        <v>0</v>
      </c>
      <c r="E48" s="7"/>
      <c r="F48" s="7">
        <v>7</v>
      </c>
      <c r="G48" s="27"/>
    </row>
    <row r="49" spans="1:7" x14ac:dyDescent="0.2">
      <c r="A49" s="19">
        <v>31</v>
      </c>
      <c r="B49" s="7">
        <v>2.82</v>
      </c>
      <c r="C49" s="7">
        <v>0</v>
      </c>
      <c r="D49" s="11">
        <f>IF(LEFT(C49,1)="&lt;","&lt;",IF(AND(ISNUMBER('009-EFFLUENT'!B95),ISNUMBER(C95)),SUM(('009-EFFLUENT'!B95 *  C95) * 8.34),""))</f>
        <v>0</v>
      </c>
      <c r="E49" s="7"/>
      <c r="F49" s="7">
        <v>7.2</v>
      </c>
      <c r="G49" s="27"/>
    </row>
    <row r="50" spans="1:7" hidden="1" x14ac:dyDescent="0.2">
      <c r="A50" s="21"/>
      <c r="B50" s="8"/>
      <c r="C50" s="8"/>
      <c r="D50" s="11" t="str">
        <f>IF(LEFT(C50,1)="&lt;","&lt;",IF(AND(ISNUMBER('009-EFFLUENT'!B96),ISNUMBER(C96)),SUM(('009-EFFLUENT'!B96 *  C96) * 8.34),""))</f>
        <v/>
      </c>
      <c r="E50" s="8"/>
      <c r="F50" s="8"/>
      <c r="G50" s="32"/>
    </row>
    <row r="51" spans="1:7" x14ac:dyDescent="0.2">
      <c r="A51" s="22" t="s">
        <v>64</v>
      </c>
      <c r="B51" s="13">
        <f t="shared" ref="B51:G51" si="0">IF(COUNTA(B19:B50)&gt;0,SUM(B65:B96),"")</f>
        <v>130.37999999999997</v>
      </c>
      <c r="C51" s="13">
        <f t="shared" si="0"/>
        <v>1.0700000000000005</v>
      </c>
      <c r="D51" s="13">
        <f t="shared" si="0"/>
        <v>40.022825999999995</v>
      </c>
      <c r="E51" s="13">
        <f t="shared" si="0"/>
        <v>49.87</v>
      </c>
      <c r="F51" s="13">
        <f t="shared" si="0"/>
        <v>217.33999999999997</v>
      </c>
      <c r="G51" s="28">
        <f t="shared" si="0"/>
        <v>1</v>
      </c>
    </row>
    <row r="52" spans="1:7" x14ac:dyDescent="0.2">
      <c r="A52" s="19" t="s">
        <v>65</v>
      </c>
      <c r="B52" s="10">
        <f t="shared" ref="B52:G52" si="1">IF(ISNUMBER(AVERAGE(B65:B96)),AVERAGE(B65:B96),"")</f>
        <v>4.2058064516129026</v>
      </c>
      <c r="C52" s="10">
        <f t="shared" si="1"/>
        <v>3.4516129032258078E-2</v>
      </c>
      <c r="D52" s="10">
        <f t="shared" si="1"/>
        <v>1.2910589032258062</v>
      </c>
      <c r="E52" s="10">
        <f t="shared" si="1"/>
        <v>49.87</v>
      </c>
      <c r="F52" s="10">
        <f t="shared" si="1"/>
        <v>7.0109677419354828</v>
      </c>
      <c r="G52" s="29">
        <f t="shared" si="1"/>
        <v>1</v>
      </c>
    </row>
    <row r="53" spans="1:7" x14ac:dyDescent="0.2">
      <c r="A53" s="19" t="s">
        <v>66</v>
      </c>
      <c r="B53" s="10">
        <f t="shared" ref="B53:G53" si="2">IF(MAX(B65:B96)=0,"",MAX(B65:B96))</f>
        <v>10.88</v>
      </c>
      <c r="C53" s="10">
        <f t="shared" si="2"/>
        <v>0.08</v>
      </c>
      <c r="D53" s="10">
        <f t="shared" si="2"/>
        <v>3.3576839999999994</v>
      </c>
      <c r="E53" s="10">
        <f t="shared" si="2"/>
        <v>49.87</v>
      </c>
      <c r="F53" s="10">
        <f t="shared" si="2"/>
        <v>8.83</v>
      </c>
      <c r="G53" s="29">
        <f t="shared" si="2"/>
        <v>1</v>
      </c>
    </row>
    <row r="54" spans="1:7" x14ac:dyDescent="0.2">
      <c r="A54" s="19" t="s">
        <v>67</v>
      </c>
      <c r="B54" s="10">
        <f t="shared" ref="B54:G54" si="3">IF(MIN(B65:B96)=0,"",MIN(B65:B96))</f>
        <v>0.88</v>
      </c>
      <c r="C54" s="10" t="str">
        <f t="shared" si="3"/>
        <v/>
      </c>
      <c r="D54" s="10" t="str">
        <f t="shared" si="3"/>
        <v/>
      </c>
      <c r="E54" s="10">
        <f t="shared" si="3"/>
        <v>49.87</v>
      </c>
      <c r="F54" s="10">
        <f t="shared" si="3"/>
        <v>1</v>
      </c>
      <c r="G54" s="29">
        <f t="shared" si="3"/>
        <v>1</v>
      </c>
    </row>
    <row r="55" spans="1:7" x14ac:dyDescent="0.2">
      <c r="A55" s="19" t="s">
        <v>68</v>
      </c>
      <c r="B55" s="10">
        <f t="shared" ref="B55:G55" si="4">IF(MAX(B57:B60)=0,"",MAX(B57:B60))</f>
        <v>5.1614285714285719</v>
      </c>
      <c r="C55" s="10">
        <f t="shared" si="4"/>
        <v>4.2857142857142858E-2</v>
      </c>
      <c r="D55" s="10">
        <f t="shared" si="4"/>
        <v>1.6713359999999997</v>
      </c>
      <c r="E55" s="10">
        <f t="shared" si="4"/>
        <v>49.87</v>
      </c>
      <c r="F55" s="10">
        <f t="shared" si="4"/>
        <v>7.1285714285714281</v>
      </c>
      <c r="G55" s="29">
        <f t="shared" si="4"/>
        <v>1</v>
      </c>
    </row>
    <row r="56" spans="1:7" x14ac:dyDescent="0.2">
      <c r="A56" s="21"/>
      <c r="G56" s="30"/>
    </row>
    <row r="57" spans="1:7" hidden="1" x14ac:dyDescent="0.2">
      <c r="A57" s="22" t="s">
        <v>69</v>
      </c>
      <c r="B57" s="13">
        <f t="shared" ref="B57:G57" si="5">IF(SUM(B65:B71)&gt;0,AVERAGE(B65:B71),"")</f>
        <v>3.29</v>
      </c>
      <c r="C57" s="13">
        <f t="shared" si="5"/>
        <v>4.2857142857142858E-2</v>
      </c>
      <c r="D57" s="13">
        <f t="shared" si="5"/>
        <v>1.2032237142857143</v>
      </c>
      <c r="E57" s="13" t="str">
        <f t="shared" si="5"/>
        <v/>
      </c>
      <c r="F57" s="13">
        <f t="shared" si="5"/>
        <v>6.8100000000000005</v>
      </c>
      <c r="G57" s="28" t="str">
        <f t="shared" si="5"/>
        <v/>
      </c>
    </row>
    <row r="58" spans="1:7" hidden="1" x14ac:dyDescent="0.2">
      <c r="A58" s="19" t="s">
        <v>70</v>
      </c>
      <c r="B58" s="10">
        <f t="shared" ref="B58:G58" si="6">IF(SUM(B72:B78)&gt;0,AVERAGE(B72:B78),"")</f>
        <v>3.6257142857142859</v>
      </c>
      <c r="C58" s="10">
        <f t="shared" si="6"/>
        <v>3.1428571428571431E-2</v>
      </c>
      <c r="D58" s="10">
        <f t="shared" si="6"/>
        <v>0.91871057142857127</v>
      </c>
      <c r="E58" s="10">
        <f t="shared" si="6"/>
        <v>49.87</v>
      </c>
      <c r="F58" s="10">
        <f t="shared" si="6"/>
        <v>6.9157142857142864</v>
      </c>
      <c r="G58" s="29">
        <f t="shared" si="6"/>
        <v>1</v>
      </c>
    </row>
    <row r="59" spans="1:7" hidden="1" x14ac:dyDescent="0.2">
      <c r="A59" s="19" t="s">
        <v>71</v>
      </c>
      <c r="B59" s="10">
        <f t="shared" ref="B59:G59" si="7">IF(SUM(B79:B85)&gt;0,AVERAGE(B79:B85),"")</f>
        <v>5.0128571428571425</v>
      </c>
      <c r="C59" s="10">
        <f t="shared" si="7"/>
        <v>3.2857142857142856E-2</v>
      </c>
      <c r="D59" s="10">
        <f t="shared" si="7"/>
        <v>1.5122802857142859</v>
      </c>
      <c r="E59" s="10" t="str">
        <f t="shared" si="7"/>
        <v/>
      </c>
      <c r="F59" s="10">
        <f t="shared" si="7"/>
        <v>7.1285714285714281</v>
      </c>
      <c r="G59" s="29" t="str">
        <f t="shared" si="7"/>
        <v/>
      </c>
    </row>
    <row r="60" spans="1:7" hidden="1" x14ac:dyDescent="0.2">
      <c r="A60" s="20" t="s">
        <v>72</v>
      </c>
      <c r="B60" s="15">
        <f t="shared" ref="B60:G60" si="8">IF(SUM(B86:B92)&gt;0,AVERAGE(B86:B92),"")</f>
        <v>5.1614285714285719</v>
      </c>
      <c r="C60" s="15">
        <f t="shared" si="8"/>
        <v>3.5714285714285719E-2</v>
      </c>
      <c r="D60" s="15">
        <f t="shared" si="8"/>
        <v>1.6713359999999997</v>
      </c>
      <c r="E60" s="15" t="str">
        <f t="shared" si="8"/>
        <v/>
      </c>
      <c r="F60" s="15">
        <f t="shared" si="8"/>
        <v>6.9857142857142858</v>
      </c>
      <c r="G60" s="31" t="str">
        <f t="shared" si="8"/>
        <v/>
      </c>
    </row>
    <row r="65" spans="1:7" hidden="1" x14ac:dyDescent="0.2">
      <c r="A65" s="4" t="s">
        <v>73</v>
      </c>
      <c r="B65" s="3">
        <f t="shared" ref="B65:G74" si="9">IF(LEFT(B19,1) = "&lt;",0, IF(ISBLANK(B19),"",B19))</f>
        <v>1.36</v>
      </c>
      <c r="C65" s="3">
        <f t="shared" si="9"/>
        <v>0.01</v>
      </c>
      <c r="D65" s="3">
        <f t="shared" si="9"/>
        <v>0.11342400000000001</v>
      </c>
      <c r="E65" s="3" t="str">
        <f t="shared" si="9"/>
        <v/>
      </c>
      <c r="F65" s="3">
        <f t="shared" si="9"/>
        <v>1</v>
      </c>
      <c r="G65" s="3" t="str">
        <f t="shared" si="9"/>
        <v/>
      </c>
    </row>
    <row r="66" spans="1:7" hidden="1" x14ac:dyDescent="0.2">
      <c r="A66" s="4" t="s">
        <v>74</v>
      </c>
      <c r="B66" s="3">
        <f t="shared" si="9"/>
        <v>3.39</v>
      </c>
      <c r="C66" s="3">
        <f t="shared" si="9"/>
        <v>0.03</v>
      </c>
      <c r="D66" s="3">
        <f t="shared" si="9"/>
        <v>0.84817799999999999</v>
      </c>
      <c r="E66" s="3" t="str">
        <f t="shared" si="9"/>
        <v/>
      </c>
      <c r="F66" s="3">
        <f t="shared" si="9"/>
        <v>6.99</v>
      </c>
      <c r="G66" s="3" t="str">
        <f t="shared" si="9"/>
        <v/>
      </c>
    </row>
    <row r="67" spans="1:7" hidden="1" x14ac:dyDescent="0.2">
      <c r="A67" s="4" t="s">
        <v>75</v>
      </c>
      <c r="B67" s="3">
        <f t="shared" si="9"/>
        <v>2.92</v>
      </c>
      <c r="C67" s="3">
        <f t="shared" si="9"/>
        <v>0.06</v>
      </c>
      <c r="D67" s="3">
        <f t="shared" si="9"/>
        <v>1.461168</v>
      </c>
      <c r="E67" s="3" t="str">
        <f t="shared" si="9"/>
        <v/>
      </c>
      <c r="F67" s="3">
        <f t="shared" si="9"/>
        <v>8.83</v>
      </c>
      <c r="G67" s="3" t="str">
        <f t="shared" si="9"/>
        <v/>
      </c>
    </row>
    <row r="68" spans="1:7" hidden="1" x14ac:dyDescent="0.2">
      <c r="A68" s="4" t="s">
        <v>76</v>
      </c>
      <c r="B68" s="3">
        <f t="shared" si="9"/>
        <v>6.4</v>
      </c>
      <c r="C68" s="3">
        <f t="shared" si="9"/>
        <v>0.04</v>
      </c>
      <c r="D68" s="3">
        <f t="shared" si="9"/>
        <v>2.13504</v>
      </c>
      <c r="E68" s="3" t="str">
        <f t="shared" si="9"/>
        <v/>
      </c>
      <c r="F68" s="3">
        <f t="shared" si="9"/>
        <v>8.75</v>
      </c>
      <c r="G68" s="3" t="str">
        <f t="shared" si="9"/>
        <v/>
      </c>
    </row>
    <row r="69" spans="1:7" hidden="1" x14ac:dyDescent="0.2">
      <c r="A69" s="4" t="s">
        <v>77</v>
      </c>
      <c r="B69" s="3">
        <f t="shared" si="9"/>
        <v>1.75</v>
      </c>
      <c r="C69" s="3">
        <f t="shared" si="9"/>
        <v>0.03</v>
      </c>
      <c r="D69" s="3">
        <f t="shared" si="9"/>
        <v>0.43784999999999996</v>
      </c>
      <c r="E69" s="3" t="str">
        <f t="shared" si="9"/>
        <v/>
      </c>
      <c r="F69" s="3">
        <f t="shared" si="9"/>
        <v>6.7</v>
      </c>
      <c r="G69" s="3" t="str">
        <f t="shared" si="9"/>
        <v/>
      </c>
    </row>
    <row r="70" spans="1:7" hidden="1" x14ac:dyDescent="0.2">
      <c r="A70" s="4" t="s">
        <v>78</v>
      </c>
      <c r="B70" s="3">
        <f t="shared" si="9"/>
        <v>1.68</v>
      </c>
      <c r="C70" s="3">
        <f t="shared" si="9"/>
        <v>0.08</v>
      </c>
      <c r="D70" s="3">
        <f t="shared" si="9"/>
        <v>1.1208959999999999</v>
      </c>
      <c r="E70" s="3" t="str">
        <f t="shared" si="9"/>
        <v/>
      </c>
      <c r="F70" s="3">
        <f t="shared" si="9"/>
        <v>7.9</v>
      </c>
      <c r="G70" s="3" t="str">
        <f t="shared" si="9"/>
        <v/>
      </c>
    </row>
    <row r="71" spans="1:7" hidden="1" x14ac:dyDescent="0.2">
      <c r="A71" s="4" t="s">
        <v>79</v>
      </c>
      <c r="B71" s="3">
        <f t="shared" si="9"/>
        <v>5.53</v>
      </c>
      <c r="C71" s="3">
        <f t="shared" si="9"/>
        <v>0.05</v>
      </c>
      <c r="D71" s="3">
        <f t="shared" si="9"/>
        <v>2.3060100000000001</v>
      </c>
      <c r="E71" s="3" t="str">
        <f t="shared" si="9"/>
        <v/>
      </c>
      <c r="F71" s="3">
        <f t="shared" si="9"/>
        <v>7.5</v>
      </c>
      <c r="G71" s="3" t="str">
        <f t="shared" si="9"/>
        <v/>
      </c>
    </row>
    <row r="72" spans="1:7" hidden="1" x14ac:dyDescent="0.2">
      <c r="A72" s="4" t="s">
        <v>80</v>
      </c>
      <c r="B72" s="3">
        <f t="shared" si="9"/>
        <v>3.75</v>
      </c>
      <c r="C72" s="3">
        <f t="shared" si="9"/>
        <v>0.02</v>
      </c>
      <c r="D72" s="3">
        <f t="shared" si="9"/>
        <v>0.62549999999999994</v>
      </c>
      <c r="E72" s="3" t="str">
        <f t="shared" si="9"/>
        <v/>
      </c>
      <c r="F72" s="3">
        <f t="shared" si="9"/>
        <v>7.2</v>
      </c>
      <c r="G72" s="3" t="str">
        <f t="shared" si="9"/>
        <v/>
      </c>
    </row>
    <row r="73" spans="1:7" hidden="1" x14ac:dyDescent="0.2">
      <c r="A73" s="4" t="s">
        <v>81</v>
      </c>
      <c r="B73" s="3">
        <f t="shared" si="9"/>
        <v>0.88</v>
      </c>
      <c r="C73" s="3">
        <f t="shared" si="9"/>
        <v>0.04</v>
      </c>
      <c r="D73" s="3">
        <f t="shared" si="9"/>
        <v>0.293568</v>
      </c>
      <c r="E73" s="3" t="str">
        <f t="shared" si="9"/>
        <v/>
      </c>
      <c r="F73" s="3">
        <f t="shared" si="9"/>
        <v>7.2</v>
      </c>
      <c r="G73" s="3" t="str">
        <f t="shared" si="9"/>
        <v/>
      </c>
    </row>
    <row r="74" spans="1:7" hidden="1" x14ac:dyDescent="0.2">
      <c r="A74" s="4" t="s">
        <v>82</v>
      </c>
      <c r="B74" s="3">
        <f t="shared" si="9"/>
        <v>3.04</v>
      </c>
      <c r="C74" s="3">
        <f t="shared" si="9"/>
        <v>0.04</v>
      </c>
      <c r="D74" s="3">
        <f t="shared" si="9"/>
        <v>1.0141439999999999</v>
      </c>
      <c r="E74" s="3">
        <f t="shared" si="9"/>
        <v>49.87</v>
      </c>
      <c r="F74" s="3">
        <f t="shared" si="9"/>
        <v>7</v>
      </c>
      <c r="G74" s="3">
        <f t="shared" si="9"/>
        <v>1</v>
      </c>
    </row>
    <row r="75" spans="1:7" hidden="1" x14ac:dyDescent="0.2">
      <c r="A75" s="4" t="s">
        <v>83</v>
      </c>
      <c r="B75" s="3">
        <f t="shared" ref="B75:G84" si="10">IF(LEFT(B29,1) = "&lt;",0, IF(ISBLANK(B29),"",B29))</f>
        <v>4.5199999999999996</v>
      </c>
      <c r="C75" s="3">
        <f t="shared" si="10"/>
        <v>0.05</v>
      </c>
      <c r="D75" s="3">
        <f t="shared" si="10"/>
        <v>1.8848399999999998</v>
      </c>
      <c r="E75" s="3" t="str">
        <f t="shared" si="10"/>
        <v/>
      </c>
      <c r="F75" s="3">
        <f t="shared" si="10"/>
        <v>6.21</v>
      </c>
      <c r="G75" s="3" t="str">
        <f t="shared" si="10"/>
        <v/>
      </c>
    </row>
    <row r="76" spans="1:7" hidden="1" x14ac:dyDescent="0.2">
      <c r="A76" s="4" t="s">
        <v>84</v>
      </c>
      <c r="B76" s="3">
        <f t="shared" si="10"/>
        <v>4.95</v>
      </c>
      <c r="C76" s="3">
        <f t="shared" si="10"/>
        <v>0.03</v>
      </c>
      <c r="D76" s="3">
        <f t="shared" si="10"/>
        <v>1.2384899999999999</v>
      </c>
      <c r="E76" s="3" t="str">
        <f t="shared" si="10"/>
        <v/>
      </c>
      <c r="F76" s="3">
        <f t="shared" si="10"/>
        <v>6.7</v>
      </c>
      <c r="G76" s="3" t="str">
        <f t="shared" si="10"/>
        <v/>
      </c>
    </row>
    <row r="77" spans="1:7" hidden="1" x14ac:dyDescent="0.2">
      <c r="A77" s="4" t="s">
        <v>85</v>
      </c>
      <c r="B77" s="3">
        <f t="shared" si="10"/>
        <v>4.09</v>
      </c>
      <c r="C77" s="3">
        <f t="shared" si="10"/>
        <v>0.02</v>
      </c>
      <c r="D77" s="3">
        <f t="shared" si="10"/>
        <v>0.68221199999999993</v>
      </c>
      <c r="E77" s="3" t="str">
        <f t="shared" si="10"/>
        <v/>
      </c>
      <c r="F77" s="3">
        <f t="shared" si="10"/>
        <v>7</v>
      </c>
      <c r="G77" s="3" t="str">
        <f t="shared" si="10"/>
        <v/>
      </c>
    </row>
    <row r="78" spans="1:7" hidden="1" x14ac:dyDescent="0.2">
      <c r="A78" s="4" t="s">
        <v>86</v>
      </c>
      <c r="B78" s="3">
        <f t="shared" si="10"/>
        <v>4.1500000000000004</v>
      </c>
      <c r="C78" s="3">
        <f t="shared" si="10"/>
        <v>0.02</v>
      </c>
      <c r="D78" s="3">
        <f t="shared" si="10"/>
        <v>0.69222000000000006</v>
      </c>
      <c r="E78" s="3" t="str">
        <f t="shared" si="10"/>
        <v/>
      </c>
      <c r="F78" s="3">
        <f t="shared" si="10"/>
        <v>7.1</v>
      </c>
      <c r="G78" s="3" t="str">
        <f t="shared" si="10"/>
        <v/>
      </c>
    </row>
    <row r="79" spans="1:7" hidden="1" x14ac:dyDescent="0.2">
      <c r="A79" s="4" t="s">
        <v>87</v>
      </c>
      <c r="B79" s="3">
        <f t="shared" si="10"/>
        <v>2.2999999999999998</v>
      </c>
      <c r="C79" s="3">
        <f t="shared" si="10"/>
        <v>0.03</v>
      </c>
      <c r="D79" s="3">
        <f t="shared" si="10"/>
        <v>0.57545999999999997</v>
      </c>
      <c r="E79" s="3" t="str">
        <f t="shared" si="10"/>
        <v/>
      </c>
      <c r="F79" s="3">
        <f t="shared" si="10"/>
        <v>7.3</v>
      </c>
      <c r="G79" s="3" t="str">
        <f t="shared" si="10"/>
        <v/>
      </c>
    </row>
    <row r="80" spans="1:7" hidden="1" x14ac:dyDescent="0.2">
      <c r="A80" s="4" t="s">
        <v>88</v>
      </c>
      <c r="B80" s="3">
        <f t="shared" si="10"/>
        <v>1.94</v>
      </c>
      <c r="C80" s="3">
        <f t="shared" si="10"/>
        <v>0.02</v>
      </c>
      <c r="D80" s="3">
        <f t="shared" si="10"/>
        <v>0.32359199999999999</v>
      </c>
      <c r="E80" s="3" t="str">
        <f t="shared" si="10"/>
        <v/>
      </c>
      <c r="F80" s="3">
        <f t="shared" si="10"/>
        <v>7</v>
      </c>
      <c r="G80" s="3" t="str">
        <f t="shared" si="10"/>
        <v/>
      </c>
    </row>
    <row r="81" spans="1:7" hidden="1" x14ac:dyDescent="0.2">
      <c r="A81" s="4" t="s">
        <v>89</v>
      </c>
      <c r="B81" s="3">
        <f t="shared" si="10"/>
        <v>1.64</v>
      </c>
      <c r="C81" s="3">
        <f t="shared" si="10"/>
        <v>0.02</v>
      </c>
      <c r="D81" s="3">
        <f t="shared" si="10"/>
        <v>0.27355199999999996</v>
      </c>
      <c r="E81" s="3" t="str">
        <f t="shared" si="10"/>
        <v/>
      </c>
      <c r="F81" s="3">
        <f t="shared" si="10"/>
        <v>7.1</v>
      </c>
      <c r="G81" s="3" t="str">
        <f t="shared" si="10"/>
        <v/>
      </c>
    </row>
    <row r="82" spans="1:7" hidden="1" x14ac:dyDescent="0.2">
      <c r="A82" s="4" t="s">
        <v>90</v>
      </c>
      <c r="B82" s="3">
        <f t="shared" si="10"/>
        <v>2.13</v>
      </c>
      <c r="C82" s="3">
        <f t="shared" si="10"/>
        <v>0.04</v>
      </c>
      <c r="D82" s="3">
        <f t="shared" si="10"/>
        <v>0.71056799999999998</v>
      </c>
      <c r="E82" s="3" t="str">
        <f t="shared" si="10"/>
        <v/>
      </c>
      <c r="F82" s="3">
        <f t="shared" si="10"/>
        <v>7.3</v>
      </c>
      <c r="G82" s="3" t="str">
        <f t="shared" si="10"/>
        <v/>
      </c>
    </row>
    <row r="83" spans="1:7" hidden="1" x14ac:dyDescent="0.2">
      <c r="A83" s="4" t="s">
        <v>91</v>
      </c>
      <c r="B83" s="3">
        <f t="shared" si="10"/>
        <v>9.2899999999999991</v>
      </c>
      <c r="C83" s="3">
        <f t="shared" si="10"/>
        <v>0.04</v>
      </c>
      <c r="D83" s="3">
        <f t="shared" si="10"/>
        <v>3.0991439999999999</v>
      </c>
      <c r="E83" s="3" t="str">
        <f t="shared" si="10"/>
        <v/>
      </c>
      <c r="F83" s="3">
        <f t="shared" si="10"/>
        <v>7.2</v>
      </c>
      <c r="G83" s="3" t="str">
        <f t="shared" si="10"/>
        <v/>
      </c>
    </row>
    <row r="84" spans="1:7" hidden="1" x14ac:dyDescent="0.2">
      <c r="A84" s="4" t="s">
        <v>92</v>
      </c>
      <c r="B84" s="3">
        <f t="shared" si="10"/>
        <v>6.91</v>
      </c>
      <c r="C84" s="3">
        <f t="shared" si="10"/>
        <v>0.05</v>
      </c>
      <c r="D84" s="3">
        <f t="shared" si="10"/>
        <v>2.8814700000000002</v>
      </c>
      <c r="E84" s="3" t="str">
        <f t="shared" si="10"/>
        <v/>
      </c>
      <c r="F84" s="3">
        <f t="shared" si="10"/>
        <v>6.9</v>
      </c>
      <c r="G84" s="3" t="str">
        <f t="shared" si="10"/>
        <v/>
      </c>
    </row>
    <row r="85" spans="1:7" hidden="1" x14ac:dyDescent="0.2">
      <c r="A85" s="4" t="s">
        <v>93</v>
      </c>
      <c r="B85" s="3">
        <f t="shared" ref="B85:G94" si="11">IF(LEFT(B39,1) = "&lt;",0, IF(ISBLANK(B39),"",B39))</f>
        <v>10.88</v>
      </c>
      <c r="C85" s="3">
        <f t="shared" si="11"/>
        <v>0.03</v>
      </c>
      <c r="D85" s="3">
        <f t="shared" si="11"/>
        <v>2.7221760000000002</v>
      </c>
      <c r="E85" s="3" t="str">
        <f t="shared" si="11"/>
        <v/>
      </c>
      <c r="F85" s="3">
        <f t="shared" si="11"/>
        <v>7.1</v>
      </c>
      <c r="G85" s="3" t="str">
        <f t="shared" si="11"/>
        <v/>
      </c>
    </row>
    <row r="86" spans="1:7" hidden="1" x14ac:dyDescent="0.2">
      <c r="A86" s="4" t="s">
        <v>94</v>
      </c>
      <c r="B86" s="3">
        <f t="shared" si="11"/>
        <v>6.71</v>
      </c>
      <c r="C86" s="3">
        <f t="shared" si="11"/>
        <v>0.06</v>
      </c>
      <c r="D86" s="3">
        <f t="shared" si="11"/>
        <v>3.3576839999999994</v>
      </c>
      <c r="E86" s="3" t="str">
        <f t="shared" si="11"/>
        <v/>
      </c>
      <c r="F86" s="3">
        <f t="shared" si="11"/>
        <v>7.3</v>
      </c>
      <c r="G86" s="3" t="str">
        <f t="shared" si="11"/>
        <v/>
      </c>
    </row>
    <row r="87" spans="1:7" hidden="1" x14ac:dyDescent="0.2">
      <c r="A87" s="4" t="s">
        <v>95</v>
      </c>
      <c r="B87" s="3">
        <f t="shared" si="11"/>
        <v>7.99</v>
      </c>
      <c r="C87" s="3">
        <f t="shared" si="11"/>
        <v>0.05</v>
      </c>
      <c r="D87" s="3">
        <f t="shared" si="11"/>
        <v>3.3318300000000001</v>
      </c>
      <c r="E87" s="3" t="str">
        <f t="shared" si="11"/>
        <v/>
      </c>
      <c r="F87" s="3">
        <f t="shared" si="11"/>
        <v>7.2</v>
      </c>
      <c r="G87" s="3" t="str">
        <f t="shared" si="11"/>
        <v/>
      </c>
    </row>
    <row r="88" spans="1:7" hidden="1" x14ac:dyDescent="0.2">
      <c r="A88" s="4" t="s">
        <v>96</v>
      </c>
      <c r="B88" s="3">
        <f t="shared" si="11"/>
        <v>8.27</v>
      </c>
      <c r="C88" s="3">
        <f t="shared" si="11"/>
        <v>0.03</v>
      </c>
      <c r="D88" s="3">
        <f t="shared" si="11"/>
        <v>2.0691539999999997</v>
      </c>
      <c r="E88" s="3" t="str">
        <f t="shared" si="11"/>
        <v/>
      </c>
      <c r="F88" s="3">
        <f t="shared" si="11"/>
        <v>7</v>
      </c>
      <c r="G88" s="3" t="str">
        <f t="shared" si="11"/>
        <v/>
      </c>
    </row>
    <row r="89" spans="1:7" hidden="1" x14ac:dyDescent="0.2">
      <c r="A89" s="4" t="s">
        <v>97</v>
      </c>
      <c r="B89" s="3">
        <f t="shared" si="11"/>
        <v>2.66</v>
      </c>
      <c r="C89" s="3">
        <f t="shared" si="11"/>
        <v>0.04</v>
      </c>
      <c r="D89" s="3">
        <f t="shared" si="11"/>
        <v>0.88737600000000005</v>
      </c>
      <c r="E89" s="3" t="str">
        <f t="shared" si="11"/>
        <v/>
      </c>
      <c r="F89" s="3">
        <f t="shared" si="11"/>
        <v>6.9</v>
      </c>
      <c r="G89" s="3" t="str">
        <f t="shared" si="11"/>
        <v/>
      </c>
    </row>
    <row r="90" spans="1:7" hidden="1" x14ac:dyDescent="0.2">
      <c r="A90" s="4" t="s">
        <v>98</v>
      </c>
      <c r="B90" s="3">
        <f t="shared" si="11"/>
        <v>3.53</v>
      </c>
      <c r="C90" s="3">
        <f t="shared" si="11"/>
        <v>0.05</v>
      </c>
      <c r="D90" s="3">
        <f t="shared" si="11"/>
        <v>1.4720099999999998</v>
      </c>
      <c r="E90" s="3" t="str">
        <f t="shared" si="11"/>
        <v/>
      </c>
      <c r="F90" s="3">
        <f t="shared" si="11"/>
        <v>7</v>
      </c>
      <c r="G90" s="3" t="str">
        <f t="shared" si="11"/>
        <v/>
      </c>
    </row>
    <row r="91" spans="1:7" hidden="1" x14ac:dyDescent="0.2">
      <c r="A91" s="4" t="s">
        <v>99</v>
      </c>
      <c r="B91" s="3">
        <f t="shared" si="11"/>
        <v>4.8600000000000003</v>
      </c>
      <c r="C91" s="3">
        <f t="shared" si="11"/>
        <v>0.01</v>
      </c>
      <c r="D91" s="3">
        <f t="shared" si="11"/>
        <v>0.40532400000000002</v>
      </c>
      <c r="E91" s="3" t="str">
        <f t="shared" si="11"/>
        <v/>
      </c>
      <c r="F91" s="3">
        <f t="shared" si="11"/>
        <v>6.9</v>
      </c>
      <c r="G91" s="3" t="str">
        <f t="shared" si="11"/>
        <v/>
      </c>
    </row>
    <row r="92" spans="1:7" hidden="1" x14ac:dyDescent="0.2">
      <c r="A92" s="4" t="s">
        <v>100</v>
      </c>
      <c r="B92" s="3">
        <f t="shared" si="11"/>
        <v>2.11</v>
      </c>
      <c r="C92" s="3">
        <f t="shared" si="11"/>
        <v>0.01</v>
      </c>
      <c r="D92" s="3">
        <f t="shared" si="11"/>
        <v>0.17597399999999999</v>
      </c>
      <c r="E92" s="3" t="str">
        <f t="shared" si="11"/>
        <v/>
      </c>
      <c r="F92" s="3">
        <f t="shared" si="11"/>
        <v>6.6</v>
      </c>
      <c r="G92" s="3" t="str">
        <f t="shared" si="11"/>
        <v/>
      </c>
    </row>
    <row r="93" spans="1:7" hidden="1" x14ac:dyDescent="0.2">
      <c r="A93" s="4" t="s">
        <v>101</v>
      </c>
      <c r="B93" s="3">
        <f t="shared" si="11"/>
        <v>4.9400000000000004</v>
      </c>
      <c r="C93" s="3">
        <f t="shared" si="11"/>
        <v>7.0000000000000007E-2</v>
      </c>
      <c r="D93" s="3">
        <f t="shared" si="11"/>
        <v>2.8839720000000004</v>
      </c>
      <c r="E93" s="3" t="str">
        <f t="shared" si="11"/>
        <v/>
      </c>
      <c r="F93" s="3">
        <f t="shared" si="11"/>
        <v>8.26</v>
      </c>
      <c r="G93" s="3" t="str">
        <f t="shared" si="11"/>
        <v/>
      </c>
    </row>
    <row r="94" spans="1:7" hidden="1" x14ac:dyDescent="0.2">
      <c r="A94" s="4" t="s">
        <v>102</v>
      </c>
      <c r="B94" s="3">
        <f t="shared" si="11"/>
        <v>2.99</v>
      </c>
      <c r="C94" s="3">
        <f t="shared" si="11"/>
        <v>0</v>
      </c>
      <c r="D94" s="3">
        <f t="shared" si="11"/>
        <v>0</v>
      </c>
      <c r="E94" s="3" t="str">
        <f t="shared" si="11"/>
        <v/>
      </c>
      <c r="F94" s="3">
        <f t="shared" si="11"/>
        <v>7</v>
      </c>
      <c r="G94" s="3" t="str">
        <f t="shared" si="11"/>
        <v/>
      </c>
    </row>
    <row r="95" spans="1:7" hidden="1" x14ac:dyDescent="0.2">
      <c r="A95" s="4" t="s">
        <v>103</v>
      </c>
      <c r="B95" s="3">
        <f t="shared" ref="B95:G96" si="12">IF(LEFT(B49,1) = "&lt;",0, IF(ISBLANK(B49),"",B49))</f>
        <v>2.82</v>
      </c>
      <c r="C95" s="3">
        <f t="shared" si="12"/>
        <v>0</v>
      </c>
      <c r="D95" s="3">
        <f t="shared" si="12"/>
        <v>0</v>
      </c>
      <c r="E95" s="3" t="str">
        <f t="shared" si="12"/>
        <v/>
      </c>
      <c r="F95" s="3">
        <f t="shared" si="12"/>
        <v>7.2</v>
      </c>
      <c r="G95" s="3" t="str">
        <f t="shared" si="12"/>
        <v/>
      </c>
    </row>
    <row r="96" spans="1:7" x14ac:dyDescent="0.2">
      <c r="B96" s="3" t="str">
        <f t="shared" si="12"/>
        <v/>
      </c>
      <c r="C96" s="3" t="str">
        <f t="shared" si="12"/>
        <v/>
      </c>
      <c r="D96" s="3" t="str">
        <f t="shared" si="12"/>
        <v/>
      </c>
      <c r="E96" s="3" t="str">
        <f t="shared" si="12"/>
        <v/>
      </c>
      <c r="F96" s="3" t="str">
        <f t="shared" si="12"/>
        <v/>
      </c>
      <c r="G96" s="3" t="str">
        <f t="shared" si="12"/>
        <v/>
      </c>
    </row>
  </sheetData>
  <sheetProtection algorithmName="SHA-512" hashValue="1OtekNbRc9OMiH5i9k7O/CvSh3rs8jyGVJAKyGvWaNZZf/SezqO8sSRiJNCmzrGoCZDPsdJS0Vtdd5cG8d6JJw==" saltValue="CbfDDHGAxX+0GJmiIvcQ0Q==" spinCount="100000" sheet="1"/>
  <mergeCells count="21">
    <mergeCell ref="F10"/>
    <mergeCell ref="G9"/>
    <mergeCell ref="G15"/>
    <mergeCell ref="G13:G14"/>
    <mergeCell ref="G10"/>
    <mergeCell ref="B2:D3"/>
    <mergeCell ref="E1:G4"/>
    <mergeCell ref="B9:F9"/>
    <mergeCell ref="B15"/>
    <mergeCell ref="B13:B14"/>
    <mergeCell ref="B10"/>
    <mergeCell ref="C15"/>
    <mergeCell ref="C13:C14"/>
    <mergeCell ref="D15"/>
    <mergeCell ref="D13:D14"/>
    <mergeCell ref="C10:D10"/>
    <mergeCell ref="E15"/>
    <mergeCell ref="E13:E14"/>
    <mergeCell ref="E10"/>
    <mergeCell ref="F15"/>
    <mergeCell ref="F13:F14"/>
  </mergeCells>
  <conditionalFormatting sqref="B15:G15">
    <cfRule type="containsText" dxfId="19" priority="1" operator="containsText" text="13">
      <formula>NOT(ISERROR(SEARCH("13",B15)))</formula>
    </cfRule>
    <cfRule type="expression" dxfId="18" priority="2">
      <formula>NOT(AND(SUM(B51)=0,ISBLANK(B15)))</formula>
    </cfRule>
  </conditionalFormatting>
  <dataValidations count="3">
    <dataValidation type="list" sqref="B15:G15" xr:uid="{00000000-0002-0000-05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G19:G50 B19:E50" xr:uid="{00000000-0002-0000-0500-000001000000}">
      <formula1>OR(LEFT(B19:B50,1)= "&lt;", AND(ISNUMBER(B19:B50),B19:B50&gt;=0))</formula1>
    </dataValidation>
    <dataValidation type="decimal" allowBlank="1" showErrorMessage="1" errorTitle="PH" error="Please choose a value between 0 and 14. Select Retry to enter a diffferent value or select Cancel to clear the value." sqref="F19:F50" xr:uid="{00000000-0002-0000-0500-000009000000}">
      <formula1>0</formula1>
      <formula2>14</formula2>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96"/>
  <sheetViews>
    <sheetView showGridLines="0" workbookViewId="0">
      <pane xSplit="1" ySplit="16" topLeftCell="B19" activePane="bottomRight" state="frozen"/>
      <selection pane="topRight" activeCell="B1" sqref="B1"/>
      <selection pane="bottomLeft" activeCell="A17" sqref="A17"/>
      <selection pane="bottomRight" activeCell="E21" sqref="E21"/>
    </sheetView>
  </sheetViews>
  <sheetFormatPr defaultColWidth="9.140625" defaultRowHeight="11.25" x14ac:dyDescent="0.2"/>
  <cols>
    <col min="1" max="1" width="11.85546875" style="3" customWidth="1"/>
    <col min="2" max="6" width="14" style="3" customWidth="1"/>
    <col min="7" max="7" width="15.2851562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113</v>
      </c>
    </row>
    <row r="6" spans="1:7" x14ac:dyDescent="0.2">
      <c r="A6" s="4" t="s">
        <v>12</v>
      </c>
      <c r="B6" s="3" t="str">
        <f>Cover!C13 &amp; "-" &amp; Cover!D13</f>
        <v>12-2025</v>
      </c>
    </row>
    <row r="7" spans="1:7" hidden="1" x14ac:dyDescent="0.2"/>
    <row r="8" spans="1:7" hidden="1" x14ac:dyDescent="0.2"/>
    <row r="9" spans="1:7" ht="36" customHeight="1" x14ac:dyDescent="0.2">
      <c r="A9" s="16" t="s">
        <v>39</v>
      </c>
      <c r="B9" s="46" t="s">
        <v>114</v>
      </c>
      <c r="C9" s="47" t="s">
        <v>114</v>
      </c>
      <c r="D9" s="47" t="s">
        <v>114</v>
      </c>
      <c r="E9" s="47" t="s">
        <v>114</v>
      </c>
      <c r="F9" s="48" t="s">
        <v>114</v>
      </c>
      <c r="G9" s="52" t="s">
        <v>105</v>
      </c>
    </row>
    <row r="10" spans="1:7" x14ac:dyDescent="0.2">
      <c r="A10" s="17" t="s">
        <v>41</v>
      </c>
      <c r="B10" s="52" t="s">
        <v>42</v>
      </c>
      <c r="C10" s="46" t="s">
        <v>44</v>
      </c>
      <c r="D10" s="48" t="s">
        <v>44</v>
      </c>
      <c r="E10" s="52" t="s">
        <v>45</v>
      </c>
      <c r="F10" s="52" t="s">
        <v>46</v>
      </c>
      <c r="G10" s="52" t="s">
        <v>106</v>
      </c>
    </row>
    <row r="11" spans="1:7" x14ac:dyDescent="0.2">
      <c r="A11" s="17" t="s">
        <v>47</v>
      </c>
      <c r="B11" s="5" t="s">
        <v>48</v>
      </c>
      <c r="C11" s="5" t="s">
        <v>49</v>
      </c>
      <c r="D11" s="5" t="s">
        <v>50</v>
      </c>
      <c r="E11" s="5" t="s">
        <v>51</v>
      </c>
      <c r="F11" s="5" t="s">
        <v>52</v>
      </c>
      <c r="G11" s="23" t="s">
        <v>107</v>
      </c>
    </row>
    <row r="12" spans="1:7" x14ac:dyDescent="0.2">
      <c r="A12" s="17" t="s">
        <v>53</v>
      </c>
      <c r="B12" s="9" t="s">
        <v>54</v>
      </c>
      <c r="C12" s="9" t="s">
        <v>54</v>
      </c>
      <c r="D12" s="9" t="s">
        <v>54</v>
      </c>
      <c r="E12" s="9" t="s">
        <v>54</v>
      </c>
      <c r="F12" s="9" t="s">
        <v>54</v>
      </c>
      <c r="G12" s="24" t="s">
        <v>108</v>
      </c>
    </row>
    <row r="13" spans="1:7" x14ac:dyDescent="0.2">
      <c r="A13" s="17" t="s">
        <v>56</v>
      </c>
      <c r="B13" s="50" t="s">
        <v>57</v>
      </c>
      <c r="C13" s="50" t="s">
        <v>57</v>
      </c>
      <c r="D13" s="50" t="s">
        <v>57</v>
      </c>
      <c r="E13" s="50" t="s">
        <v>57</v>
      </c>
      <c r="F13" s="50" t="s">
        <v>57</v>
      </c>
      <c r="G13" s="54" t="s">
        <v>57</v>
      </c>
    </row>
    <row r="14" spans="1:7" x14ac:dyDescent="0.2">
      <c r="A14" s="17" t="s">
        <v>58</v>
      </c>
      <c r="B14" s="51" t="s">
        <v>57</v>
      </c>
      <c r="C14" s="51" t="s">
        <v>57</v>
      </c>
      <c r="D14" s="51" t="s">
        <v>57</v>
      </c>
      <c r="E14" s="51" t="s">
        <v>57</v>
      </c>
      <c r="F14" s="51" t="s">
        <v>57</v>
      </c>
      <c r="G14" s="55" t="s">
        <v>57</v>
      </c>
    </row>
    <row r="15" spans="1:7" x14ac:dyDescent="0.2">
      <c r="A15" s="17" t="s">
        <v>59</v>
      </c>
      <c r="B15" s="49" t="s">
        <v>148</v>
      </c>
      <c r="C15" s="49"/>
      <c r="D15" s="49" t="s">
        <v>148</v>
      </c>
      <c r="E15" s="49"/>
      <c r="F15" s="49"/>
      <c r="G15" s="53"/>
    </row>
    <row r="16" spans="1:7" x14ac:dyDescent="0.2">
      <c r="A16" s="18" t="s">
        <v>60</v>
      </c>
      <c r="B16" s="12"/>
      <c r="C16" s="12"/>
      <c r="D16" s="12"/>
      <c r="E16" s="12"/>
      <c r="F16" s="12"/>
      <c r="G16" s="25"/>
    </row>
    <row r="17" spans="1:7" hidden="1" x14ac:dyDescent="0.2">
      <c r="A17" s="17" t="s">
        <v>61</v>
      </c>
      <c r="B17" s="6">
        <v>142688</v>
      </c>
      <c r="C17" s="6">
        <v>142769</v>
      </c>
      <c r="D17" s="6">
        <v>142769</v>
      </c>
      <c r="E17" s="6">
        <v>144291</v>
      </c>
      <c r="F17" s="6">
        <v>142689</v>
      </c>
      <c r="G17" s="26">
        <v>142786</v>
      </c>
    </row>
    <row r="18" spans="1:7" hidden="1" x14ac:dyDescent="0.2">
      <c r="A18" s="17" t="s">
        <v>62</v>
      </c>
      <c r="B18" s="6">
        <v>157</v>
      </c>
      <c r="C18" s="6">
        <v>162</v>
      </c>
      <c r="D18" s="6">
        <v>164</v>
      </c>
      <c r="E18" s="6">
        <v>159</v>
      </c>
      <c r="F18" s="6">
        <v>156</v>
      </c>
      <c r="G18" s="26">
        <v>835</v>
      </c>
    </row>
    <row r="19" spans="1:7" x14ac:dyDescent="0.2">
      <c r="A19" s="19" t="s">
        <v>63</v>
      </c>
      <c r="B19" s="7">
        <v>0</v>
      </c>
      <c r="C19" s="7">
        <v>7.0000000000000007E-2</v>
      </c>
      <c r="D19" s="11">
        <f>IF(LEFT(C19,1)="&lt;","&lt;",IF(AND(ISNUMBER('011-EFFLUENT'!B65),ISNUMBER(C65)),SUM(('011-EFFLUENT'!B65 *  C65) * 8.34),""))</f>
        <v>0</v>
      </c>
      <c r="E19" s="7"/>
      <c r="F19" s="7">
        <v>9.6</v>
      </c>
      <c r="G19" s="27"/>
    </row>
    <row r="20" spans="1:7" x14ac:dyDescent="0.2">
      <c r="A20" s="19">
        <v>2</v>
      </c>
      <c r="B20" s="7">
        <v>0</v>
      </c>
      <c r="C20" s="7">
        <v>0.03</v>
      </c>
      <c r="D20" s="11">
        <f>IF(LEFT(C20,1)="&lt;","&lt;",IF(AND(ISNUMBER('011-EFFLUENT'!B66),ISNUMBER(C66)),SUM(('011-EFFLUENT'!B66 *  C66) * 8.34),""))</f>
        <v>0</v>
      </c>
      <c r="E20" s="7"/>
      <c r="F20" s="7">
        <v>6.77</v>
      </c>
      <c r="G20" s="27"/>
    </row>
    <row r="21" spans="1:7" x14ac:dyDescent="0.2">
      <c r="A21" s="19">
        <v>3</v>
      </c>
      <c r="B21" s="7">
        <v>0</v>
      </c>
      <c r="C21" s="7">
        <v>0.05</v>
      </c>
      <c r="D21" s="11">
        <f>IF(LEFT(C21,1)="&lt;","&lt;",IF(AND(ISNUMBER('011-EFFLUENT'!B67),ISNUMBER(C67)),SUM(('011-EFFLUENT'!B67 *  C67) * 8.34),""))</f>
        <v>0</v>
      </c>
      <c r="E21" s="7"/>
      <c r="F21" s="7">
        <v>8.09</v>
      </c>
      <c r="G21" s="27"/>
    </row>
    <row r="22" spans="1:7" x14ac:dyDescent="0.2">
      <c r="A22" s="19">
        <v>4</v>
      </c>
      <c r="B22" s="7">
        <v>0</v>
      </c>
      <c r="C22" s="7">
        <v>0.01</v>
      </c>
      <c r="D22" s="11">
        <f>IF(LEFT(C22,1)="&lt;","&lt;",IF(AND(ISNUMBER('011-EFFLUENT'!B68),ISNUMBER(C68)),SUM(('011-EFFLUENT'!B68 *  C68) * 8.34),""))</f>
        <v>0</v>
      </c>
      <c r="E22" s="7"/>
      <c r="F22" s="7">
        <v>8</v>
      </c>
      <c r="G22" s="27"/>
    </row>
    <row r="23" spans="1:7" x14ac:dyDescent="0.2">
      <c r="A23" s="19">
        <v>5</v>
      </c>
      <c r="B23" s="7">
        <v>0</v>
      </c>
      <c r="C23" s="7">
        <v>0.04</v>
      </c>
      <c r="D23" s="11">
        <f>IF(LEFT(C23,1)="&lt;","&lt;",IF(AND(ISNUMBER('011-EFFLUENT'!B69),ISNUMBER(C69)),SUM(('011-EFFLUENT'!B69 *  C69) * 8.34),""))</f>
        <v>0</v>
      </c>
      <c r="E23" s="7"/>
      <c r="F23" s="7">
        <v>7.1</v>
      </c>
      <c r="G23" s="27"/>
    </row>
    <row r="24" spans="1:7" x14ac:dyDescent="0.2">
      <c r="A24" s="19">
        <v>6</v>
      </c>
      <c r="B24" s="7">
        <v>0</v>
      </c>
      <c r="C24" s="7">
        <v>0.02</v>
      </c>
      <c r="D24" s="11">
        <f>IF(LEFT(C24,1)="&lt;","&lt;",IF(AND(ISNUMBER('011-EFFLUENT'!B70),ISNUMBER(C70)),SUM(('011-EFFLUENT'!B70 *  C70) * 8.34),""))</f>
        <v>0</v>
      </c>
      <c r="E24" s="7"/>
      <c r="F24" s="7">
        <v>7</v>
      </c>
      <c r="G24" s="27"/>
    </row>
    <row r="25" spans="1:7" x14ac:dyDescent="0.2">
      <c r="A25" s="20">
        <v>7</v>
      </c>
      <c r="B25" s="12">
        <v>0</v>
      </c>
      <c r="C25" s="12">
        <v>0.01</v>
      </c>
      <c r="D25" s="14">
        <f>IF(LEFT(C25,1)="&lt;","&lt;",IF(AND(ISNUMBER('011-EFFLUENT'!B71),ISNUMBER(C71)),SUM(('011-EFFLUENT'!B71 *  C71) * 8.34),""))</f>
        <v>0</v>
      </c>
      <c r="E25" s="12"/>
      <c r="F25" s="12">
        <v>6.8</v>
      </c>
      <c r="G25" s="25"/>
    </row>
    <row r="26" spans="1:7" x14ac:dyDescent="0.2">
      <c r="A26" s="19">
        <v>8</v>
      </c>
      <c r="B26" s="7">
        <v>0</v>
      </c>
      <c r="C26" s="7">
        <v>0.03</v>
      </c>
      <c r="D26" s="11">
        <f>IF(LEFT(C26,1)="&lt;","&lt;",IF(AND(ISNUMBER('011-EFFLUENT'!B72),ISNUMBER(C72)),SUM(('011-EFFLUENT'!B72 *  C72) * 8.34),""))</f>
        <v>0</v>
      </c>
      <c r="E26" s="7"/>
      <c r="F26" s="7">
        <v>7</v>
      </c>
      <c r="G26" s="27"/>
    </row>
    <row r="27" spans="1:7" x14ac:dyDescent="0.2">
      <c r="A27" s="19">
        <v>9</v>
      </c>
      <c r="B27" s="7">
        <v>0</v>
      </c>
      <c r="C27" s="7">
        <v>0.01</v>
      </c>
      <c r="D27" s="11">
        <f>IF(LEFT(C27,1)="&lt;","&lt;",IF(AND(ISNUMBER('011-EFFLUENT'!B73),ISNUMBER(C73)),SUM(('011-EFFLUENT'!B73 *  C73) * 8.34),""))</f>
        <v>0</v>
      </c>
      <c r="E27" s="7"/>
      <c r="F27" s="7">
        <v>7.1</v>
      </c>
      <c r="G27" s="27"/>
    </row>
    <row r="28" spans="1:7" x14ac:dyDescent="0.2">
      <c r="A28" s="19">
        <v>10</v>
      </c>
      <c r="B28" s="7">
        <v>0</v>
      </c>
      <c r="C28" s="7">
        <v>0.01</v>
      </c>
      <c r="D28" s="11">
        <f>IF(LEFT(C28,1)="&lt;","&lt;",IF(AND(ISNUMBER('011-EFFLUENT'!B74),ISNUMBER(C74)),SUM(('011-EFFLUENT'!B74 *  C74) * 8.34),""))</f>
        <v>0</v>
      </c>
      <c r="E28" s="7">
        <v>60.32</v>
      </c>
      <c r="F28" s="7">
        <v>7.2</v>
      </c>
      <c r="G28" s="27">
        <v>1</v>
      </c>
    </row>
    <row r="29" spans="1:7" x14ac:dyDescent="0.2">
      <c r="A29" s="19">
        <v>11</v>
      </c>
      <c r="B29" s="7">
        <v>0</v>
      </c>
      <c r="C29" s="7">
        <v>0.02</v>
      </c>
      <c r="D29" s="11">
        <f>IF(LEFT(C29,1)="&lt;","&lt;",IF(AND(ISNUMBER('011-EFFLUENT'!B75),ISNUMBER(C75)),SUM(('011-EFFLUENT'!B75 *  C75) * 8.34),""))</f>
        <v>0</v>
      </c>
      <c r="E29" s="7"/>
      <c r="F29" s="7">
        <v>7.14</v>
      </c>
      <c r="G29" s="27"/>
    </row>
    <row r="30" spans="1:7" x14ac:dyDescent="0.2">
      <c r="A30" s="19">
        <v>12</v>
      </c>
      <c r="B30" s="7">
        <v>0</v>
      </c>
      <c r="C30" s="7">
        <v>0.03</v>
      </c>
      <c r="D30" s="11">
        <f>IF(LEFT(C30,1)="&lt;","&lt;",IF(AND(ISNUMBER('011-EFFLUENT'!B76),ISNUMBER(C76)),SUM(('011-EFFLUENT'!B76 *  C76) * 8.34),""))</f>
        <v>0</v>
      </c>
      <c r="E30" s="7"/>
      <c r="F30" s="7">
        <v>7.2</v>
      </c>
      <c r="G30" s="27"/>
    </row>
    <row r="31" spans="1:7" x14ac:dyDescent="0.2">
      <c r="A31" s="19">
        <v>13</v>
      </c>
      <c r="B31" s="7">
        <v>0</v>
      </c>
      <c r="C31" s="7">
        <v>0.02</v>
      </c>
      <c r="D31" s="11">
        <f>IF(LEFT(C31,1)="&lt;","&lt;",IF(AND(ISNUMBER('011-EFFLUENT'!B77),ISNUMBER(C77)),SUM(('011-EFFLUENT'!B77 *  C77) * 8.34),""))</f>
        <v>0</v>
      </c>
      <c r="E31" s="7"/>
      <c r="F31" s="7">
        <v>7.1</v>
      </c>
      <c r="G31" s="27"/>
    </row>
    <row r="32" spans="1:7" x14ac:dyDescent="0.2">
      <c r="A32" s="20">
        <v>14</v>
      </c>
      <c r="B32" s="12">
        <v>0</v>
      </c>
      <c r="C32" s="12">
        <v>0.03</v>
      </c>
      <c r="D32" s="14">
        <f>IF(LEFT(C32,1)="&lt;","&lt;",IF(AND(ISNUMBER('011-EFFLUENT'!B78),ISNUMBER(C78)),SUM(('011-EFFLUENT'!B78 *  C78) * 8.34),""))</f>
        <v>0</v>
      </c>
      <c r="E32" s="12"/>
      <c r="F32" s="12">
        <v>6.9</v>
      </c>
      <c r="G32" s="25"/>
    </row>
    <row r="33" spans="1:7" x14ac:dyDescent="0.2">
      <c r="A33" s="19">
        <v>15</v>
      </c>
      <c r="B33" s="7">
        <v>0</v>
      </c>
      <c r="C33" s="7">
        <v>0.05</v>
      </c>
      <c r="D33" s="11">
        <f>IF(LEFT(C33,1)="&lt;","&lt;",IF(AND(ISNUMBER('011-EFFLUENT'!B79),ISNUMBER(C79)),SUM(('011-EFFLUENT'!B79 *  C79) * 8.34),""))</f>
        <v>0</v>
      </c>
      <c r="E33" s="7"/>
      <c r="F33" s="7">
        <v>7.1</v>
      </c>
      <c r="G33" s="27"/>
    </row>
    <row r="34" spans="1:7" x14ac:dyDescent="0.2">
      <c r="A34" s="19">
        <v>16</v>
      </c>
      <c r="B34" s="7">
        <v>0</v>
      </c>
      <c r="C34" s="7">
        <v>0.04</v>
      </c>
      <c r="D34" s="11">
        <f>IF(LEFT(C34,1)="&lt;","&lt;",IF(AND(ISNUMBER('011-EFFLUENT'!B80),ISNUMBER(C80)),SUM(('011-EFFLUENT'!B80 *  C80) * 8.34),""))</f>
        <v>0</v>
      </c>
      <c r="E34" s="7"/>
      <c r="F34" s="7">
        <v>7.3</v>
      </c>
      <c r="G34" s="27"/>
    </row>
    <row r="35" spans="1:7" x14ac:dyDescent="0.2">
      <c r="A35" s="19">
        <v>17</v>
      </c>
      <c r="B35" s="7">
        <v>0</v>
      </c>
      <c r="C35" s="7">
        <v>0.03</v>
      </c>
      <c r="D35" s="11">
        <f>IF(LEFT(C35,1)="&lt;","&lt;",IF(AND(ISNUMBER('011-EFFLUENT'!B81),ISNUMBER(C81)),SUM(('011-EFFLUENT'!B81 *  C81) * 8.34),""))</f>
        <v>0</v>
      </c>
      <c r="E35" s="7"/>
      <c r="F35" s="7">
        <v>6.9</v>
      </c>
      <c r="G35" s="27"/>
    </row>
    <row r="36" spans="1:7" x14ac:dyDescent="0.2">
      <c r="A36" s="19">
        <v>18</v>
      </c>
      <c r="B36" s="7">
        <v>0</v>
      </c>
      <c r="C36" s="7">
        <v>0.04</v>
      </c>
      <c r="D36" s="11">
        <f>IF(LEFT(C36,1)="&lt;","&lt;",IF(AND(ISNUMBER('011-EFFLUENT'!B82),ISNUMBER(C82)),SUM(('011-EFFLUENT'!B82 *  C82) * 8.34),""))</f>
        <v>0</v>
      </c>
      <c r="E36" s="7"/>
      <c r="F36" s="7">
        <v>7</v>
      </c>
      <c r="G36" s="27"/>
    </row>
    <row r="37" spans="1:7" x14ac:dyDescent="0.2">
      <c r="A37" s="19">
        <v>19</v>
      </c>
      <c r="B37" s="7">
        <v>0</v>
      </c>
      <c r="C37" s="7">
        <v>0.03</v>
      </c>
      <c r="D37" s="11">
        <f>IF(LEFT(C37,1)="&lt;","&lt;",IF(AND(ISNUMBER('011-EFFLUENT'!B83),ISNUMBER(C83)),SUM(('011-EFFLUENT'!B83 *  C83) * 8.34),""))</f>
        <v>0</v>
      </c>
      <c r="E37" s="7"/>
      <c r="F37" s="7">
        <v>6.8</v>
      </c>
      <c r="G37" s="27"/>
    </row>
    <row r="38" spans="1:7" x14ac:dyDescent="0.2">
      <c r="A38" s="19">
        <v>20</v>
      </c>
      <c r="B38" s="7">
        <v>0</v>
      </c>
      <c r="C38" s="7">
        <v>0.02</v>
      </c>
      <c r="D38" s="11">
        <f>IF(LEFT(C38,1)="&lt;","&lt;",IF(AND(ISNUMBER('011-EFFLUENT'!B84),ISNUMBER(C84)),SUM(('011-EFFLUENT'!B84 *  C84) * 8.34),""))</f>
        <v>0</v>
      </c>
      <c r="E38" s="7"/>
      <c r="F38" s="7">
        <v>7.3</v>
      </c>
      <c r="G38" s="27"/>
    </row>
    <row r="39" spans="1:7" x14ac:dyDescent="0.2">
      <c r="A39" s="20">
        <v>21</v>
      </c>
      <c r="B39" s="12">
        <v>0</v>
      </c>
      <c r="C39" s="12">
        <v>0.03</v>
      </c>
      <c r="D39" s="14">
        <f>IF(LEFT(C39,1)="&lt;","&lt;",IF(AND(ISNUMBER('011-EFFLUENT'!B85),ISNUMBER(C85)),SUM(('011-EFFLUENT'!B85 *  C85) * 8.34),""))</f>
        <v>0</v>
      </c>
      <c r="E39" s="12"/>
      <c r="F39" s="12">
        <v>7</v>
      </c>
      <c r="G39" s="25"/>
    </row>
    <row r="40" spans="1:7" x14ac:dyDescent="0.2">
      <c r="A40" s="19">
        <v>22</v>
      </c>
      <c r="B40" s="7">
        <v>0</v>
      </c>
      <c r="C40" s="7">
        <v>0.05</v>
      </c>
      <c r="D40" s="11">
        <f>IF(LEFT(C40,1)="&lt;","&lt;",IF(AND(ISNUMBER('011-EFFLUENT'!B86),ISNUMBER(C86)),SUM(('011-EFFLUENT'!B86 *  C86) * 8.34),""))</f>
        <v>0</v>
      </c>
      <c r="E40" s="7"/>
      <c r="F40" s="7">
        <v>7.1</v>
      </c>
      <c r="G40" s="27"/>
    </row>
    <row r="41" spans="1:7" x14ac:dyDescent="0.2">
      <c r="A41" s="19">
        <v>23</v>
      </c>
      <c r="B41" s="7">
        <v>0</v>
      </c>
      <c r="C41" s="7">
        <v>0.04</v>
      </c>
      <c r="D41" s="11">
        <f>IF(LEFT(C41,1)="&lt;","&lt;",IF(AND(ISNUMBER('011-EFFLUENT'!B87),ISNUMBER(C87)),SUM(('011-EFFLUENT'!B87 *  C87) * 8.34),""))</f>
        <v>0</v>
      </c>
      <c r="E41" s="7"/>
      <c r="F41" s="7">
        <v>7.1</v>
      </c>
      <c r="G41" s="27"/>
    </row>
    <row r="42" spans="1:7" x14ac:dyDescent="0.2">
      <c r="A42" s="19">
        <v>24</v>
      </c>
      <c r="B42" s="7">
        <v>0</v>
      </c>
      <c r="C42" s="7">
        <v>0.02</v>
      </c>
      <c r="D42" s="11">
        <f>IF(LEFT(C42,1)="&lt;","&lt;",IF(AND(ISNUMBER('011-EFFLUENT'!B88),ISNUMBER(C88)),SUM(('011-EFFLUENT'!B88 *  C88) * 8.34),""))</f>
        <v>0</v>
      </c>
      <c r="E42" s="7"/>
      <c r="F42" s="7">
        <v>6.9</v>
      </c>
      <c r="G42" s="27"/>
    </row>
    <row r="43" spans="1:7" x14ac:dyDescent="0.2">
      <c r="A43" s="19">
        <v>25</v>
      </c>
      <c r="B43" s="7">
        <v>0</v>
      </c>
      <c r="C43" s="7">
        <v>0.03</v>
      </c>
      <c r="D43" s="11">
        <f>IF(LEFT(C43,1)="&lt;","&lt;",IF(AND(ISNUMBER('011-EFFLUENT'!B89),ISNUMBER(C89)),SUM(('011-EFFLUENT'!B89 *  C89) * 8.34),""))</f>
        <v>0</v>
      </c>
      <c r="E43" s="7"/>
      <c r="F43" s="7">
        <v>7.2</v>
      </c>
      <c r="G43" s="27"/>
    </row>
    <row r="44" spans="1:7" x14ac:dyDescent="0.2">
      <c r="A44" s="19">
        <v>26</v>
      </c>
      <c r="B44" s="7">
        <v>0</v>
      </c>
      <c r="C44" s="7">
        <v>0.04</v>
      </c>
      <c r="D44" s="11">
        <f>IF(LEFT(C44,1)="&lt;","&lt;",IF(AND(ISNUMBER('011-EFFLUENT'!B90),ISNUMBER(C90)),SUM(('011-EFFLUENT'!B90 *  C90) * 8.34),""))</f>
        <v>0</v>
      </c>
      <c r="E44" s="7"/>
      <c r="F44" s="7">
        <v>7.2</v>
      </c>
      <c r="G44" s="27"/>
    </row>
    <row r="45" spans="1:7" x14ac:dyDescent="0.2">
      <c r="A45" s="19">
        <v>27</v>
      </c>
      <c r="B45" s="7">
        <v>0</v>
      </c>
      <c r="C45" s="7">
        <v>0</v>
      </c>
      <c r="D45" s="11">
        <f>IF(LEFT(C45,1)="&lt;","&lt;",IF(AND(ISNUMBER('011-EFFLUENT'!B91),ISNUMBER(C91)),SUM(('011-EFFLUENT'!B91 *  C91) * 8.34),""))</f>
        <v>0</v>
      </c>
      <c r="E45" s="7"/>
      <c r="F45" s="7">
        <v>7</v>
      </c>
      <c r="G45" s="27"/>
    </row>
    <row r="46" spans="1:7" x14ac:dyDescent="0.2">
      <c r="A46" s="20">
        <v>28</v>
      </c>
      <c r="B46" s="12">
        <v>0</v>
      </c>
      <c r="C46" s="12">
        <v>0.01</v>
      </c>
      <c r="D46" s="14">
        <f>IF(LEFT(C46,1)="&lt;","&lt;",IF(AND(ISNUMBER('011-EFFLUENT'!B92),ISNUMBER(C92)),SUM(('011-EFFLUENT'!B92 *  C92) * 8.34),""))</f>
        <v>0</v>
      </c>
      <c r="E46" s="12"/>
      <c r="F46" s="12">
        <v>7.14</v>
      </c>
      <c r="G46" s="25"/>
    </row>
    <row r="47" spans="1:7" x14ac:dyDescent="0.2">
      <c r="A47" s="19">
        <v>29</v>
      </c>
      <c r="B47" s="7">
        <v>0</v>
      </c>
      <c r="C47" s="7">
        <v>0.04</v>
      </c>
      <c r="D47" s="11">
        <f>IF(LEFT(C47,1)="&lt;","&lt;",IF(AND(ISNUMBER('011-EFFLUENT'!B93),ISNUMBER(C93)),SUM(('011-EFFLUENT'!B93 *  C93) * 8.34),""))</f>
        <v>0</v>
      </c>
      <c r="E47" s="7"/>
      <c r="F47" s="7">
        <v>8</v>
      </c>
      <c r="G47" s="27"/>
    </row>
    <row r="48" spans="1:7" x14ac:dyDescent="0.2">
      <c r="A48" s="19">
        <v>30</v>
      </c>
      <c r="B48" s="7">
        <v>0</v>
      </c>
      <c r="C48" s="7">
        <v>0.01</v>
      </c>
      <c r="D48" s="11">
        <f>IF(LEFT(C48,1)="&lt;","&lt;",IF(AND(ISNUMBER('011-EFFLUENT'!B94),ISNUMBER(C94)),SUM(('011-EFFLUENT'!B94 *  C94) * 8.34),""))</f>
        <v>0</v>
      </c>
      <c r="E48" s="7"/>
      <c r="F48" s="7">
        <v>6.9</v>
      </c>
      <c r="G48" s="27"/>
    </row>
    <row r="49" spans="1:7" x14ac:dyDescent="0.2">
      <c r="A49" s="19">
        <v>31</v>
      </c>
      <c r="B49" s="7">
        <v>0</v>
      </c>
      <c r="C49" s="7">
        <v>0.01</v>
      </c>
      <c r="D49" s="11">
        <f>IF(LEFT(C49,1)="&lt;","&lt;",IF(AND(ISNUMBER('011-EFFLUENT'!B95),ISNUMBER(C95)),SUM(('011-EFFLUENT'!B95 *  C95) * 8.34),""))</f>
        <v>0</v>
      </c>
      <c r="E49" s="7"/>
      <c r="F49" s="7">
        <v>7.3</v>
      </c>
      <c r="G49" s="27"/>
    </row>
    <row r="50" spans="1:7" hidden="1" x14ac:dyDescent="0.2">
      <c r="A50" s="21"/>
      <c r="B50" s="8"/>
      <c r="C50" s="8"/>
      <c r="D50" s="11" t="str">
        <f>IF(LEFT(C50,1)="&lt;","&lt;",IF(AND(ISNUMBER('011-EFFLUENT'!B96),ISNUMBER(C96)),SUM(('011-EFFLUENT'!B96 *  C96) * 8.34),""))</f>
        <v/>
      </c>
      <c r="E50" s="8"/>
      <c r="F50" s="8"/>
      <c r="G50" s="32"/>
    </row>
    <row r="51" spans="1:7" x14ac:dyDescent="0.2">
      <c r="A51" s="22" t="s">
        <v>64</v>
      </c>
      <c r="B51" s="13">
        <f t="shared" ref="B51:G51" si="0">IF(COUNTA(B19:B50)&gt;0,SUM(B65:B96),"")</f>
        <v>0</v>
      </c>
      <c r="C51" s="13">
        <f t="shared" si="0"/>
        <v>0.87000000000000044</v>
      </c>
      <c r="D51" s="13">
        <f t="shared" si="0"/>
        <v>0</v>
      </c>
      <c r="E51" s="13">
        <f t="shared" si="0"/>
        <v>60.32</v>
      </c>
      <c r="F51" s="13">
        <f t="shared" si="0"/>
        <v>224.24</v>
      </c>
      <c r="G51" s="28">
        <f t="shared" si="0"/>
        <v>1</v>
      </c>
    </row>
    <row r="52" spans="1:7" x14ac:dyDescent="0.2">
      <c r="A52" s="19" t="s">
        <v>65</v>
      </c>
      <c r="B52" s="10">
        <f t="shared" ref="B52:G52" si="1">IF(ISNUMBER(AVERAGE(B65:B96)),AVERAGE(B65:B96),"")</f>
        <v>0</v>
      </c>
      <c r="C52" s="10">
        <f t="shared" si="1"/>
        <v>2.8064516129032272E-2</v>
      </c>
      <c r="D52" s="10">
        <f t="shared" si="1"/>
        <v>0</v>
      </c>
      <c r="E52" s="10">
        <f t="shared" si="1"/>
        <v>60.32</v>
      </c>
      <c r="F52" s="10">
        <f t="shared" si="1"/>
        <v>7.2335483870967741</v>
      </c>
      <c r="G52" s="29">
        <f t="shared" si="1"/>
        <v>1</v>
      </c>
    </row>
    <row r="53" spans="1:7" x14ac:dyDescent="0.2">
      <c r="A53" s="19" t="s">
        <v>66</v>
      </c>
      <c r="B53" s="10" t="str">
        <f t="shared" ref="B53:G53" si="2">IF(MAX(B65:B96)=0,"",MAX(B65:B96))</f>
        <v/>
      </c>
      <c r="C53" s="10">
        <f t="shared" si="2"/>
        <v>7.0000000000000007E-2</v>
      </c>
      <c r="D53" s="10" t="str">
        <f t="shared" si="2"/>
        <v/>
      </c>
      <c r="E53" s="10">
        <f t="shared" si="2"/>
        <v>60.32</v>
      </c>
      <c r="F53" s="10">
        <f t="shared" si="2"/>
        <v>9.6</v>
      </c>
      <c r="G53" s="29">
        <f t="shared" si="2"/>
        <v>1</v>
      </c>
    </row>
    <row r="54" spans="1:7" x14ac:dyDescent="0.2">
      <c r="A54" s="19" t="s">
        <v>67</v>
      </c>
      <c r="B54" s="10" t="str">
        <f t="shared" ref="B54:G54" si="3">IF(MIN(B65:B96)=0,"",MIN(B65:B96))</f>
        <v/>
      </c>
      <c r="C54" s="10" t="str">
        <f t="shared" si="3"/>
        <v/>
      </c>
      <c r="D54" s="10" t="str">
        <f t="shared" si="3"/>
        <v/>
      </c>
      <c r="E54" s="10">
        <f t="shared" si="3"/>
        <v>60.32</v>
      </c>
      <c r="F54" s="10">
        <f t="shared" si="3"/>
        <v>6.77</v>
      </c>
      <c r="G54" s="29">
        <f t="shared" si="3"/>
        <v>1</v>
      </c>
    </row>
    <row r="55" spans="1:7" x14ac:dyDescent="0.2">
      <c r="A55" s="19" t="s">
        <v>68</v>
      </c>
      <c r="B55" s="10" t="str">
        <f t="shared" ref="B55:G55" si="4">IF(MAX(B57:B60)=0,"",MAX(B57:B60))</f>
        <v/>
      </c>
      <c r="C55" s="10">
        <f t="shared" si="4"/>
        <v>3.4285714285714287E-2</v>
      </c>
      <c r="D55" s="10" t="str">
        <f t="shared" si="4"/>
        <v/>
      </c>
      <c r="E55" s="10">
        <f t="shared" si="4"/>
        <v>60.32</v>
      </c>
      <c r="F55" s="10">
        <f t="shared" si="4"/>
        <v>7.6228571428571419</v>
      </c>
      <c r="G55" s="29">
        <f t="shared" si="4"/>
        <v>1</v>
      </c>
    </row>
    <row r="56" spans="1:7" x14ac:dyDescent="0.2">
      <c r="A56" s="21"/>
      <c r="G56" s="30"/>
    </row>
    <row r="57" spans="1:7" hidden="1" x14ac:dyDescent="0.2">
      <c r="A57" s="22" t="s">
        <v>69</v>
      </c>
      <c r="B57" s="13" t="str">
        <f t="shared" ref="B57:G57" si="5">IF(SUM(B65:B71)&gt;0,AVERAGE(B65:B71),"")</f>
        <v/>
      </c>
      <c r="C57" s="13">
        <f t="shared" si="5"/>
        <v>3.2857142857142863E-2</v>
      </c>
      <c r="D57" s="13" t="str">
        <f t="shared" si="5"/>
        <v/>
      </c>
      <c r="E57" s="13" t="str">
        <f t="shared" si="5"/>
        <v/>
      </c>
      <c r="F57" s="13">
        <f t="shared" si="5"/>
        <v>7.6228571428571419</v>
      </c>
      <c r="G57" s="28" t="str">
        <f t="shared" si="5"/>
        <v/>
      </c>
    </row>
    <row r="58" spans="1:7" hidden="1" x14ac:dyDescent="0.2">
      <c r="A58" s="19" t="s">
        <v>70</v>
      </c>
      <c r="B58" s="10" t="str">
        <f t="shared" ref="B58:G58" si="6">IF(SUM(B72:B78)&gt;0,AVERAGE(B72:B78),"")</f>
        <v/>
      </c>
      <c r="C58" s="10">
        <f t="shared" si="6"/>
        <v>2.1428571428571432E-2</v>
      </c>
      <c r="D58" s="10" t="str">
        <f t="shared" si="6"/>
        <v/>
      </c>
      <c r="E58" s="10">
        <f t="shared" si="6"/>
        <v>60.32</v>
      </c>
      <c r="F58" s="10">
        <f t="shared" si="6"/>
        <v>7.0914285714285716</v>
      </c>
      <c r="G58" s="29">
        <f t="shared" si="6"/>
        <v>1</v>
      </c>
    </row>
    <row r="59" spans="1:7" hidden="1" x14ac:dyDescent="0.2">
      <c r="A59" s="19" t="s">
        <v>71</v>
      </c>
      <c r="B59" s="10" t="str">
        <f t="shared" ref="B59:G59" si="7">IF(SUM(B79:B85)&gt;0,AVERAGE(B79:B85),"")</f>
        <v/>
      </c>
      <c r="C59" s="10">
        <f t="shared" si="7"/>
        <v>3.4285714285714287E-2</v>
      </c>
      <c r="D59" s="10" t="str">
        <f t="shared" si="7"/>
        <v/>
      </c>
      <c r="E59" s="10" t="str">
        <f t="shared" si="7"/>
        <v/>
      </c>
      <c r="F59" s="10">
        <f t="shared" si="7"/>
        <v>7.0571428571428561</v>
      </c>
      <c r="G59" s="29" t="str">
        <f t="shared" si="7"/>
        <v/>
      </c>
    </row>
    <row r="60" spans="1:7" hidden="1" x14ac:dyDescent="0.2">
      <c r="A60" s="20" t="s">
        <v>72</v>
      </c>
      <c r="B60" s="15" t="str">
        <f t="shared" ref="B60:G60" si="8">IF(SUM(B86:B92)&gt;0,AVERAGE(B86:B92),"")</f>
        <v/>
      </c>
      <c r="C60" s="15">
        <f t="shared" si="8"/>
        <v>2.7142857142857146E-2</v>
      </c>
      <c r="D60" s="15" t="str">
        <f t="shared" si="8"/>
        <v/>
      </c>
      <c r="E60" s="15" t="str">
        <f t="shared" si="8"/>
        <v/>
      </c>
      <c r="F60" s="15">
        <f t="shared" si="8"/>
        <v>7.0914285714285716</v>
      </c>
      <c r="G60" s="31" t="str">
        <f t="shared" si="8"/>
        <v/>
      </c>
    </row>
    <row r="65" spans="1:7" hidden="1" x14ac:dyDescent="0.2">
      <c r="A65" s="4" t="s">
        <v>73</v>
      </c>
      <c r="B65" s="3">
        <f t="shared" ref="B65:G74" si="9">IF(LEFT(B19,1) = "&lt;",0, IF(ISBLANK(B19),"",B19))</f>
        <v>0</v>
      </c>
      <c r="C65" s="3">
        <f t="shared" si="9"/>
        <v>7.0000000000000007E-2</v>
      </c>
      <c r="D65" s="3">
        <f t="shared" si="9"/>
        <v>0</v>
      </c>
      <c r="E65" s="3" t="str">
        <f t="shared" si="9"/>
        <v/>
      </c>
      <c r="F65" s="3">
        <f t="shared" si="9"/>
        <v>9.6</v>
      </c>
      <c r="G65" s="3" t="str">
        <f t="shared" si="9"/>
        <v/>
      </c>
    </row>
    <row r="66" spans="1:7" hidden="1" x14ac:dyDescent="0.2">
      <c r="A66" s="4" t="s">
        <v>74</v>
      </c>
      <c r="B66" s="3">
        <f t="shared" si="9"/>
        <v>0</v>
      </c>
      <c r="C66" s="3">
        <f t="shared" si="9"/>
        <v>0.03</v>
      </c>
      <c r="D66" s="3">
        <f t="shared" si="9"/>
        <v>0</v>
      </c>
      <c r="E66" s="3" t="str">
        <f t="shared" si="9"/>
        <v/>
      </c>
      <c r="F66" s="3">
        <f t="shared" si="9"/>
        <v>6.77</v>
      </c>
      <c r="G66" s="3" t="str">
        <f t="shared" si="9"/>
        <v/>
      </c>
    </row>
    <row r="67" spans="1:7" hidden="1" x14ac:dyDescent="0.2">
      <c r="A67" s="4" t="s">
        <v>75</v>
      </c>
      <c r="B67" s="3">
        <f t="shared" si="9"/>
        <v>0</v>
      </c>
      <c r="C67" s="3">
        <f t="shared" si="9"/>
        <v>0.05</v>
      </c>
      <c r="D67" s="3">
        <f t="shared" si="9"/>
        <v>0</v>
      </c>
      <c r="E67" s="3" t="str">
        <f t="shared" si="9"/>
        <v/>
      </c>
      <c r="F67" s="3">
        <f t="shared" si="9"/>
        <v>8.09</v>
      </c>
      <c r="G67" s="3" t="str">
        <f t="shared" si="9"/>
        <v/>
      </c>
    </row>
    <row r="68" spans="1:7" hidden="1" x14ac:dyDescent="0.2">
      <c r="A68" s="4" t="s">
        <v>76</v>
      </c>
      <c r="B68" s="3">
        <f t="shared" si="9"/>
        <v>0</v>
      </c>
      <c r="C68" s="3">
        <f t="shared" si="9"/>
        <v>0.01</v>
      </c>
      <c r="D68" s="3">
        <f t="shared" si="9"/>
        <v>0</v>
      </c>
      <c r="E68" s="3" t="str">
        <f t="shared" si="9"/>
        <v/>
      </c>
      <c r="F68" s="3">
        <f t="shared" si="9"/>
        <v>8</v>
      </c>
      <c r="G68" s="3" t="str">
        <f t="shared" si="9"/>
        <v/>
      </c>
    </row>
    <row r="69" spans="1:7" hidden="1" x14ac:dyDescent="0.2">
      <c r="A69" s="4" t="s">
        <v>77</v>
      </c>
      <c r="B69" s="3">
        <f t="shared" si="9"/>
        <v>0</v>
      </c>
      <c r="C69" s="3">
        <f t="shared" si="9"/>
        <v>0.04</v>
      </c>
      <c r="D69" s="3">
        <f t="shared" si="9"/>
        <v>0</v>
      </c>
      <c r="E69" s="3" t="str">
        <f t="shared" si="9"/>
        <v/>
      </c>
      <c r="F69" s="3">
        <f t="shared" si="9"/>
        <v>7.1</v>
      </c>
      <c r="G69" s="3" t="str">
        <f t="shared" si="9"/>
        <v/>
      </c>
    </row>
    <row r="70" spans="1:7" hidden="1" x14ac:dyDescent="0.2">
      <c r="A70" s="4" t="s">
        <v>78</v>
      </c>
      <c r="B70" s="3">
        <f t="shared" si="9"/>
        <v>0</v>
      </c>
      <c r="C70" s="3">
        <f t="shared" si="9"/>
        <v>0.02</v>
      </c>
      <c r="D70" s="3">
        <f t="shared" si="9"/>
        <v>0</v>
      </c>
      <c r="E70" s="3" t="str">
        <f t="shared" si="9"/>
        <v/>
      </c>
      <c r="F70" s="3">
        <f t="shared" si="9"/>
        <v>7</v>
      </c>
      <c r="G70" s="3" t="str">
        <f t="shared" si="9"/>
        <v/>
      </c>
    </row>
    <row r="71" spans="1:7" hidden="1" x14ac:dyDescent="0.2">
      <c r="A71" s="4" t="s">
        <v>79</v>
      </c>
      <c r="B71" s="3">
        <f t="shared" si="9"/>
        <v>0</v>
      </c>
      <c r="C71" s="3">
        <f t="shared" si="9"/>
        <v>0.01</v>
      </c>
      <c r="D71" s="3">
        <f t="shared" si="9"/>
        <v>0</v>
      </c>
      <c r="E71" s="3" t="str">
        <f t="shared" si="9"/>
        <v/>
      </c>
      <c r="F71" s="3">
        <f t="shared" si="9"/>
        <v>6.8</v>
      </c>
      <c r="G71" s="3" t="str">
        <f t="shared" si="9"/>
        <v/>
      </c>
    </row>
    <row r="72" spans="1:7" hidden="1" x14ac:dyDescent="0.2">
      <c r="A72" s="4" t="s">
        <v>80</v>
      </c>
      <c r="B72" s="3">
        <f t="shared" si="9"/>
        <v>0</v>
      </c>
      <c r="C72" s="3">
        <f t="shared" si="9"/>
        <v>0.03</v>
      </c>
      <c r="D72" s="3">
        <f t="shared" si="9"/>
        <v>0</v>
      </c>
      <c r="E72" s="3" t="str">
        <f t="shared" si="9"/>
        <v/>
      </c>
      <c r="F72" s="3">
        <f t="shared" si="9"/>
        <v>7</v>
      </c>
      <c r="G72" s="3" t="str">
        <f t="shared" si="9"/>
        <v/>
      </c>
    </row>
    <row r="73" spans="1:7" hidden="1" x14ac:dyDescent="0.2">
      <c r="A73" s="4" t="s">
        <v>81</v>
      </c>
      <c r="B73" s="3">
        <f t="shared" si="9"/>
        <v>0</v>
      </c>
      <c r="C73" s="3">
        <f t="shared" si="9"/>
        <v>0.01</v>
      </c>
      <c r="D73" s="3">
        <f t="shared" si="9"/>
        <v>0</v>
      </c>
      <c r="E73" s="3" t="str">
        <f t="shared" si="9"/>
        <v/>
      </c>
      <c r="F73" s="3">
        <f t="shared" si="9"/>
        <v>7.1</v>
      </c>
      <c r="G73" s="3" t="str">
        <f t="shared" si="9"/>
        <v/>
      </c>
    </row>
    <row r="74" spans="1:7" hidden="1" x14ac:dyDescent="0.2">
      <c r="A74" s="4" t="s">
        <v>82</v>
      </c>
      <c r="B74" s="3">
        <f t="shared" si="9"/>
        <v>0</v>
      </c>
      <c r="C74" s="3">
        <f t="shared" si="9"/>
        <v>0.01</v>
      </c>
      <c r="D74" s="3">
        <f t="shared" si="9"/>
        <v>0</v>
      </c>
      <c r="E74" s="3">
        <f t="shared" si="9"/>
        <v>60.32</v>
      </c>
      <c r="F74" s="3">
        <f t="shared" si="9"/>
        <v>7.2</v>
      </c>
      <c r="G74" s="3">
        <f t="shared" si="9"/>
        <v>1</v>
      </c>
    </row>
    <row r="75" spans="1:7" hidden="1" x14ac:dyDescent="0.2">
      <c r="A75" s="4" t="s">
        <v>83</v>
      </c>
      <c r="B75" s="3">
        <f t="shared" ref="B75:G84" si="10">IF(LEFT(B29,1) = "&lt;",0, IF(ISBLANK(B29),"",B29))</f>
        <v>0</v>
      </c>
      <c r="C75" s="3">
        <f t="shared" si="10"/>
        <v>0.02</v>
      </c>
      <c r="D75" s="3">
        <f t="shared" si="10"/>
        <v>0</v>
      </c>
      <c r="E75" s="3" t="str">
        <f t="shared" si="10"/>
        <v/>
      </c>
      <c r="F75" s="3">
        <f t="shared" si="10"/>
        <v>7.14</v>
      </c>
      <c r="G75" s="3" t="str">
        <f t="shared" si="10"/>
        <v/>
      </c>
    </row>
    <row r="76" spans="1:7" hidden="1" x14ac:dyDescent="0.2">
      <c r="A76" s="4" t="s">
        <v>84</v>
      </c>
      <c r="B76" s="3">
        <f t="shared" si="10"/>
        <v>0</v>
      </c>
      <c r="C76" s="3">
        <f t="shared" si="10"/>
        <v>0.03</v>
      </c>
      <c r="D76" s="3">
        <f t="shared" si="10"/>
        <v>0</v>
      </c>
      <c r="E76" s="3" t="str">
        <f t="shared" si="10"/>
        <v/>
      </c>
      <c r="F76" s="3">
        <f t="shared" si="10"/>
        <v>7.2</v>
      </c>
      <c r="G76" s="3" t="str">
        <f t="shared" si="10"/>
        <v/>
      </c>
    </row>
    <row r="77" spans="1:7" hidden="1" x14ac:dyDescent="0.2">
      <c r="A77" s="4" t="s">
        <v>85</v>
      </c>
      <c r="B77" s="3">
        <f t="shared" si="10"/>
        <v>0</v>
      </c>
      <c r="C77" s="3">
        <f t="shared" si="10"/>
        <v>0.02</v>
      </c>
      <c r="D77" s="3">
        <f t="shared" si="10"/>
        <v>0</v>
      </c>
      <c r="E77" s="3" t="str">
        <f t="shared" si="10"/>
        <v/>
      </c>
      <c r="F77" s="3">
        <f t="shared" si="10"/>
        <v>7.1</v>
      </c>
      <c r="G77" s="3" t="str">
        <f t="shared" si="10"/>
        <v/>
      </c>
    </row>
    <row r="78" spans="1:7" hidden="1" x14ac:dyDescent="0.2">
      <c r="A78" s="4" t="s">
        <v>86</v>
      </c>
      <c r="B78" s="3">
        <f t="shared" si="10"/>
        <v>0</v>
      </c>
      <c r="C78" s="3">
        <f t="shared" si="10"/>
        <v>0.03</v>
      </c>
      <c r="D78" s="3">
        <f t="shared" si="10"/>
        <v>0</v>
      </c>
      <c r="E78" s="3" t="str">
        <f t="shared" si="10"/>
        <v/>
      </c>
      <c r="F78" s="3">
        <f t="shared" si="10"/>
        <v>6.9</v>
      </c>
      <c r="G78" s="3" t="str">
        <f t="shared" si="10"/>
        <v/>
      </c>
    </row>
    <row r="79" spans="1:7" hidden="1" x14ac:dyDescent="0.2">
      <c r="A79" s="4" t="s">
        <v>87</v>
      </c>
      <c r="B79" s="3">
        <f t="shared" si="10"/>
        <v>0</v>
      </c>
      <c r="C79" s="3">
        <f t="shared" si="10"/>
        <v>0.05</v>
      </c>
      <c r="D79" s="3">
        <f t="shared" si="10"/>
        <v>0</v>
      </c>
      <c r="E79" s="3" t="str">
        <f t="shared" si="10"/>
        <v/>
      </c>
      <c r="F79" s="3">
        <f t="shared" si="10"/>
        <v>7.1</v>
      </c>
      <c r="G79" s="3" t="str">
        <f t="shared" si="10"/>
        <v/>
      </c>
    </row>
    <row r="80" spans="1:7" hidden="1" x14ac:dyDescent="0.2">
      <c r="A80" s="4" t="s">
        <v>88</v>
      </c>
      <c r="B80" s="3">
        <f t="shared" si="10"/>
        <v>0</v>
      </c>
      <c r="C80" s="3">
        <f t="shared" si="10"/>
        <v>0.04</v>
      </c>
      <c r="D80" s="3">
        <f t="shared" si="10"/>
        <v>0</v>
      </c>
      <c r="E80" s="3" t="str">
        <f t="shared" si="10"/>
        <v/>
      </c>
      <c r="F80" s="3">
        <f t="shared" si="10"/>
        <v>7.3</v>
      </c>
      <c r="G80" s="3" t="str">
        <f t="shared" si="10"/>
        <v/>
      </c>
    </row>
    <row r="81" spans="1:7" hidden="1" x14ac:dyDescent="0.2">
      <c r="A81" s="4" t="s">
        <v>89</v>
      </c>
      <c r="B81" s="3">
        <f t="shared" si="10"/>
        <v>0</v>
      </c>
      <c r="C81" s="3">
        <f t="shared" si="10"/>
        <v>0.03</v>
      </c>
      <c r="D81" s="3">
        <f t="shared" si="10"/>
        <v>0</v>
      </c>
      <c r="E81" s="3" t="str">
        <f t="shared" si="10"/>
        <v/>
      </c>
      <c r="F81" s="3">
        <f t="shared" si="10"/>
        <v>6.9</v>
      </c>
      <c r="G81" s="3" t="str">
        <f t="shared" si="10"/>
        <v/>
      </c>
    </row>
    <row r="82" spans="1:7" hidden="1" x14ac:dyDescent="0.2">
      <c r="A82" s="4" t="s">
        <v>90</v>
      </c>
      <c r="B82" s="3">
        <f t="shared" si="10"/>
        <v>0</v>
      </c>
      <c r="C82" s="3">
        <f t="shared" si="10"/>
        <v>0.04</v>
      </c>
      <c r="D82" s="3">
        <f t="shared" si="10"/>
        <v>0</v>
      </c>
      <c r="E82" s="3" t="str">
        <f t="shared" si="10"/>
        <v/>
      </c>
      <c r="F82" s="3">
        <f t="shared" si="10"/>
        <v>7</v>
      </c>
      <c r="G82" s="3" t="str">
        <f t="shared" si="10"/>
        <v/>
      </c>
    </row>
    <row r="83" spans="1:7" hidden="1" x14ac:dyDescent="0.2">
      <c r="A83" s="4" t="s">
        <v>91</v>
      </c>
      <c r="B83" s="3">
        <f t="shared" si="10"/>
        <v>0</v>
      </c>
      <c r="C83" s="3">
        <f t="shared" si="10"/>
        <v>0.03</v>
      </c>
      <c r="D83" s="3">
        <f t="shared" si="10"/>
        <v>0</v>
      </c>
      <c r="E83" s="3" t="str">
        <f t="shared" si="10"/>
        <v/>
      </c>
      <c r="F83" s="3">
        <f t="shared" si="10"/>
        <v>6.8</v>
      </c>
      <c r="G83" s="3" t="str">
        <f t="shared" si="10"/>
        <v/>
      </c>
    </row>
    <row r="84" spans="1:7" hidden="1" x14ac:dyDescent="0.2">
      <c r="A84" s="4" t="s">
        <v>92</v>
      </c>
      <c r="B84" s="3">
        <f t="shared" si="10"/>
        <v>0</v>
      </c>
      <c r="C84" s="3">
        <f t="shared" si="10"/>
        <v>0.02</v>
      </c>
      <c r="D84" s="3">
        <f t="shared" si="10"/>
        <v>0</v>
      </c>
      <c r="E84" s="3" t="str">
        <f t="shared" si="10"/>
        <v/>
      </c>
      <c r="F84" s="3">
        <f t="shared" si="10"/>
        <v>7.3</v>
      </c>
      <c r="G84" s="3" t="str">
        <f t="shared" si="10"/>
        <v/>
      </c>
    </row>
    <row r="85" spans="1:7" hidden="1" x14ac:dyDescent="0.2">
      <c r="A85" s="4" t="s">
        <v>93</v>
      </c>
      <c r="B85" s="3">
        <f t="shared" ref="B85:G94" si="11">IF(LEFT(B39,1) = "&lt;",0, IF(ISBLANK(B39),"",B39))</f>
        <v>0</v>
      </c>
      <c r="C85" s="3">
        <f t="shared" si="11"/>
        <v>0.03</v>
      </c>
      <c r="D85" s="3">
        <f t="shared" si="11"/>
        <v>0</v>
      </c>
      <c r="E85" s="3" t="str">
        <f t="shared" si="11"/>
        <v/>
      </c>
      <c r="F85" s="3">
        <f t="shared" si="11"/>
        <v>7</v>
      </c>
      <c r="G85" s="3" t="str">
        <f t="shared" si="11"/>
        <v/>
      </c>
    </row>
    <row r="86" spans="1:7" hidden="1" x14ac:dyDescent="0.2">
      <c r="A86" s="4" t="s">
        <v>94</v>
      </c>
      <c r="B86" s="3">
        <f t="shared" si="11"/>
        <v>0</v>
      </c>
      <c r="C86" s="3">
        <f t="shared" si="11"/>
        <v>0.05</v>
      </c>
      <c r="D86" s="3">
        <f t="shared" si="11"/>
        <v>0</v>
      </c>
      <c r="E86" s="3" t="str">
        <f t="shared" si="11"/>
        <v/>
      </c>
      <c r="F86" s="3">
        <f t="shared" si="11"/>
        <v>7.1</v>
      </c>
      <c r="G86" s="3" t="str">
        <f t="shared" si="11"/>
        <v/>
      </c>
    </row>
    <row r="87" spans="1:7" hidden="1" x14ac:dyDescent="0.2">
      <c r="A87" s="4" t="s">
        <v>95</v>
      </c>
      <c r="B87" s="3">
        <f t="shared" si="11"/>
        <v>0</v>
      </c>
      <c r="C87" s="3">
        <f t="shared" si="11"/>
        <v>0.04</v>
      </c>
      <c r="D87" s="3">
        <f t="shared" si="11"/>
        <v>0</v>
      </c>
      <c r="E87" s="3" t="str">
        <f t="shared" si="11"/>
        <v/>
      </c>
      <c r="F87" s="3">
        <f t="shared" si="11"/>
        <v>7.1</v>
      </c>
      <c r="G87" s="3" t="str">
        <f t="shared" si="11"/>
        <v/>
      </c>
    </row>
    <row r="88" spans="1:7" hidden="1" x14ac:dyDescent="0.2">
      <c r="A88" s="4" t="s">
        <v>96</v>
      </c>
      <c r="B88" s="3">
        <f t="shared" si="11"/>
        <v>0</v>
      </c>
      <c r="C88" s="3">
        <f t="shared" si="11"/>
        <v>0.02</v>
      </c>
      <c r="D88" s="3">
        <f t="shared" si="11"/>
        <v>0</v>
      </c>
      <c r="E88" s="3" t="str">
        <f t="shared" si="11"/>
        <v/>
      </c>
      <c r="F88" s="3">
        <f t="shared" si="11"/>
        <v>6.9</v>
      </c>
      <c r="G88" s="3" t="str">
        <f t="shared" si="11"/>
        <v/>
      </c>
    </row>
    <row r="89" spans="1:7" hidden="1" x14ac:dyDescent="0.2">
      <c r="A89" s="4" t="s">
        <v>97</v>
      </c>
      <c r="B89" s="3">
        <f t="shared" si="11"/>
        <v>0</v>
      </c>
      <c r="C89" s="3">
        <f t="shared" si="11"/>
        <v>0.03</v>
      </c>
      <c r="D89" s="3">
        <f t="shared" si="11"/>
        <v>0</v>
      </c>
      <c r="E89" s="3" t="str">
        <f t="shared" si="11"/>
        <v/>
      </c>
      <c r="F89" s="3">
        <f t="shared" si="11"/>
        <v>7.2</v>
      </c>
      <c r="G89" s="3" t="str">
        <f t="shared" si="11"/>
        <v/>
      </c>
    </row>
    <row r="90" spans="1:7" hidden="1" x14ac:dyDescent="0.2">
      <c r="A90" s="4" t="s">
        <v>98</v>
      </c>
      <c r="B90" s="3">
        <f t="shared" si="11"/>
        <v>0</v>
      </c>
      <c r="C90" s="3">
        <f t="shared" si="11"/>
        <v>0.04</v>
      </c>
      <c r="D90" s="3">
        <f t="shared" si="11"/>
        <v>0</v>
      </c>
      <c r="E90" s="3" t="str">
        <f t="shared" si="11"/>
        <v/>
      </c>
      <c r="F90" s="3">
        <f t="shared" si="11"/>
        <v>7.2</v>
      </c>
      <c r="G90" s="3" t="str">
        <f t="shared" si="11"/>
        <v/>
      </c>
    </row>
    <row r="91" spans="1:7" hidden="1" x14ac:dyDescent="0.2">
      <c r="A91" s="4" t="s">
        <v>99</v>
      </c>
      <c r="B91" s="3">
        <f t="shared" si="11"/>
        <v>0</v>
      </c>
      <c r="C91" s="3">
        <f t="shared" si="11"/>
        <v>0</v>
      </c>
      <c r="D91" s="3">
        <f t="shared" si="11"/>
        <v>0</v>
      </c>
      <c r="E91" s="3" t="str">
        <f t="shared" si="11"/>
        <v/>
      </c>
      <c r="F91" s="3">
        <f t="shared" si="11"/>
        <v>7</v>
      </c>
      <c r="G91" s="3" t="str">
        <f t="shared" si="11"/>
        <v/>
      </c>
    </row>
    <row r="92" spans="1:7" hidden="1" x14ac:dyDescent="0.2">
      <c r="A92" s="4" t="s">
        <v>100</v>
      </c>
      <c r="B92" s="3">
        <f t="shared" si="11"/>
        <v>0</v>
      </c>
      <c r="C92" s="3">
        <f t="shared" si="11"/>
        <v>0.01</v>
      </c>
      <c r="D92" s="3">
        <f t="shared" si="11"/>
        <v>0</v>
      </c>
      <c r="E92" s="3" t="str">
        <f t="shared" si="11"/>
        <v/>
      </c>
      <c r="F92" s="3">
        <f t="shared" si="11"/>
        <v>7.14</v>
      </c>
      <c r="G92" s="3" t="str">
        <f t="shared" si="11"/>
        <v/>
      </c>
    </row>
    <row r="93" spans="1:7" hidden="1" x14ac:dyDescent="0.2">
      <c r="A93" s="4" t="s">
        <v>101</v>
      </c>
      <c r="B93" s="3">
        <f t="shared" si="11"/>
        <v>0</v>
      </c>
      <c r="C93" s="3">
        <f t="shared" si="11"/>
        <v>0.04</v>
      </c>
      <c r="D93" s="3">
        <f t="shared" si="11"/>
        <v>0</v>
      </c>
      <c r="E93" s="3" t="str">
        <f t="shared" si="11"/>
        <v/>
      </c>
      <c r="F93" s="3">
        <f t="shared" si="11"/>
        <v>8</v>
      </c>
      <c r="G93" s="3" t="str">
        <f t="shared" si="11"/>
        <v/>
      </c>
    </row>
    <row r="94" spans="1:7" hidden="1" x14ac:dyDescent="0.2">
      <c r="A94" s="4" t="s">
        <v>102</v>
      </c>
      <c r="B94" s="3">
        <f t="shared" si="11"/>
        <v>0</v>
      </c>
      <c r="C94" s="3">
        <f t="shared" si="11"/>
        <v>0.01</v>
      </c>
      <c r="D94" s="3">
        <f t="shared" si="11"/>
        <v>0</v>
      </c>
      <c r="E94" s="3" t="str">
        <f t="shared" si="11"/>
        <v/>
      </c>
      <c r="F94" s="3">
        <f t="shared" si="11"/>
        <v>6.9</v>
      </c>
      <c r="G94" s="3" t="str">
        <f t="shared" si="11"/>
        <v/>
      </c>
    </row>
    <row r="95" spans="1:7" hidden="1" x14ac:dyDescent="0.2">
      <c r="A95" s="4" t="s">
        <v>103</v>
      </c>
      <c r="B95" s="3">
        <f t="shared" ref="B95:G96" si="12">IF(LEFT(B49,1) = "&lt;",0, IF(ISBLANK(B49),"",B49))</f>
        <v>0</v>
      </c>
      <c r="C95" s="3">
        <f t="shared" si="12"/>
        <v>0.01</v>
      </c>
      <c r="D95" s="3">
        <f t="shared" si="12"/>
        <v>0</v>
      </c>
      <c r="E95" s="3" t="str">
        <f t="shared" si="12"/>
        <v/>
      </c>
      <c r="F95" s="3">
        <f t="shared" si="12"/>
        <v>7.3</v>
      </c>
      <c r="G95" s="3" t="str">
        <f t="shared" si="12"/>
        <v/>
      </c>
    </row>
    <row r="96" spans="1:7" x14ac:dyDescent="0.2">
      <c r="B96" s="3" t="str">
        <f t="shared" si="12"/>
        <v/>
      </c>
      <c r="C96" s="3" t="str">
        <f t="shared" si="12"/>
        <v/>
      </c>
      <c r="D96" s="3" t="str">
        <f t="shared" si="12"/>
        <v/>
      </c>
      <c r="E96" s="3" t="str">
        <f t="shared" si="12"/>
        <v/>
      </c>
      <c r="F96" s="3" t="str">
        <f t="shared" si="12"/>
        <v/>
      </c>
      <c r="G96" s="3" t="str">
        <f t="shared" si="12"/>
        <v/>
      </c>
    </row>
  </sheetData>
  <sheetProtection algorithmName="SHA-512" hashValue="9EU8C0xJ2r5JDVzhEgiCB2TJ+x6G9iaD9K57NkWGNgIe9WBnWRIf7WwI8mrARm2ekhnyD7cBd+G7cofe+beEYA==" saltValue="KbpfH0DNpEd+2+QGJplb8g==" spinCount="100000" sheet="1"/>
  <mergeCells count="21">
    <mergeCell ref="F10"/>
    <mergeCell ref="G9"/>
    <mergeCell ref="G15"/>
    <mergeCell ref="G13:G14"/>
    <mergeCell ref="G10"/>
    <mergeCell ref="B2:D3"/>
    <mergeCell ref="E1:G4"/>
    <mergeCell ref="B9:F9"/>
    <mergeCell ref="B15"/>
    <mergeCell ref="B13:B14"/>
    <mergeCell ref="B10"/>
    <mergeCell ref="C15"/>
    <mergeCell ref="C13:C14"/>
    <mergeCell ref="D15"/>
    <mergeCell ref="D13:D14"/>
    <mergeCell ref="C10:D10"/>
    <mergeCell ref="E15"/>
    <mergeCell ref="E13:E14"/>
    <mergeCell ref="E10"/>
    <mergeCell ref="F15"/>
    <mergeCell ref="F13:F14"/>
  </mergeCells>
  <conditionalFormatting sqref="B15:G15">
    <cfRule type="containsText" dxfId="17" priority="1" operator="containsText" text="13">
      <formula>NOT(ISERROR(SEARCH("13",B15)))</formula>
    </cfRule>
    <cfRule type="expression" dxfId="16" priority="2">
      <formula>NOT(AND(SUM(B51)=0,ISBLANK(B15)))</formula>
    </cfRule>
  </conditionalFormatting>
  <dataValidations count="3">
    <dataValidation type="list" sqref="B15:G15" xr:uid="{00000000-0002-0000-06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G19:G50 B19:E50" xr:uid="{00000000-0002-0000-0600-000001000000}">
      <formula1>OR(LEFT(B19:B50,1)= "&lt;", AND(ISNUMBER(B19:B50),B19:B50&gt;=0))</formula1>
    </dataValidation>
    <dataValidation type="decimal" allowBlank="1" showErrorMessage="1" errorTitle="PH" error="Please choose a value between 0 and 14. Select Retry to enter a diffferent value or select Cancel to clear the value." sqref="F19:F50" xr:uid="{00000000-0002-0000-0600-000009000000}">
      <formula1>0</formula1>
      <formula2>14</formula2>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96"/>
  <sheetViews>
    <sheetView showGridLines="0" zoomScaleNormal="100" workbookViewId="0">
      <pane xSplit="1" ySplit="16" topLeftCell="B19" activePane="bottomRight" state="frozen"/>
      <selection pane="topRight" activeCell="B1" sqref="B1"/>
      <selection pane="bottomLeft" activeCell="A17" sqref="A17"/>
      <selection pane="bottomRight" activeCell="K27" sqref="K27"/>
    </sheetView>
  </sheetViews>
  <sheetFormatPr defaultColWidth="9.140625" defaultRowHeight="11.25" x14ac:dyDescent="0.2"/>
  <cols>
    <col min="1" max="1" width="11.85546875" style="3" customWidth="1"/>
    <col min="2" max="6" width="14.85546875" style="3" customWidth="1"/>
    <col min="7" max="8" width="15" style="3" customWidth="1"/>
    <col min="9" max="10" width="15.28515625" style="3" customWidth="1"/>
    <col min="11" max="12" width="15" style="3" customWidth="1"/>
    <col min="13" max="14" width="14.85546875" style="3" customWidth="1"/>
    <col min="15" max="15" width="9.140625" style="3" customWidth="1"/>
    <col min="16" max="16384" width="9.140625" style="3"/>
  </cols>
  <sheetData>
    <row r="1" spans="1:14" x14ac:dyDescent="0.2">
      <c r="A1" s="4" t="s">
        <v>35</v>
      </c>
      <c r="B1" s="3" t="s">
        <v>11</v>
      </c>
      <c r="E1" s="37" t="s">
        <v>115</v>
      </c>
      <c r="F1" s="38" t="s">
        <v>115</v>
      </c>
      <c r="G1" s="39" t="s">
        <v>115</v>
      </c>
    </row>
    <row r="2" spans="1:14" x14ac:dyDescent="0.2">
      <c r="A2" s="4" t="s">
        <v>8</v>
      </c>
      <c r="B2" s="36" t="s">
        <v>9</v>
      </c>
      <c r="C2" s="36" t="s">
        <v>9</v>
      </c>
      <c r="D2" s="36" t="s">
        <v>9</v>
      </c>
      <c r="E2" s="40" t="s">
        <v>115</v>
      </c>
      <c r="F2" s="41" t="s">
        <v>115</v>
      </c>
      <c r="G2" s="42" t="s">
        <v>115</v>
      </c>
    </row>
    <row r="3" spans="1:14" x14ac:dyDescent="0.2">
      <c r="B3" s="36" t="s">
        <v>9</v>
      </c>
      <c r="C3" s="36" t="s">
        <v>9</v>
      </c>
      <c r="D3" s="36" t="s">
        <v>9</v>
      </c>
      <c r="E3" s="40" t="s">
        <v>115</v>
      </c>
      <c r="F3" s="41" t="s">
        <v>115</v>
      </c>
      <c r="G3" s="42" t="s">
        <v>115</v>
      </c>
    </row>
    <row r="4" spans="1:14" x14ac:dyDescent="0.2">
      <c r="E4" s="43" t="s">
        <v>115</v>
      </c>
      <c r="F4" s="44" t="s">
        <v>115</v>
      </c>
      <c r="G4" s="45" t="s">
        <v>115</v>
      </c>
    </row>
    <row r="5" spans="1:14" x14ac:dyDescent="0.2">
      <c r="A5" s="4" t="s">
        <v>37</v>
      </c>
      <c r="B5" s="3" t="s">
        <v>116</v>
      </c>
    </row>
    <row r="6" spans="1:14" x14ac:dyDescent="0.2">
      <c r="A6" s="4" t="s">
        <v>12</v>
      </c>
      <c r="B6" s="3" t="str">
        <f>Cover!C13 &amp; "-" &amp; Cover!D13</f>
        <v>12-2025</v>
      </c>
    </row>
    <row r="7" spans="1:14" hidden="1" x14ac:dyDescent="0.2"/>
    <row r="8" spans="1:14" hidden="1" x14ac:dyDescent="0.2"/>
    <row r="9" spans="1:14" x14ac:dyDescent="0.2">
      <c r="A9" s="16" t="s">
        <v>39</v>
      </c>
      <c r="B9" s="46" t="s">
        <v>117</v>
      </c>
      <c r="C9" s="47" t="s">
        <v>117</v>
      </c>
      <c r="D9" s="47" t="s">
        <v>117</v>
      </c>
      <c r="E9" s="47" t="s">
        <v>117</v>
      </c>
      <c r="F9" s="47" t="s">
        <v>117</v>
      </c>
      <c r="G9" s="47" t="s">
        <v>117</v>
      </c>
      <c r="H9" s="47" t="s">
        <v>117</v>
      </c>
      <c r="I9" s="47" t="s">
        <v>117</v>
      </c>
      <c r="J9" s="47" t="s">
        <v>117</v>
      </c>
      <c r="K9" s="47" t="s">
        <v>117</v>
      </c>
      <c r="L9" s="47" t="s">
        <v>117</v>
      </c>
      <c r="M9" s="47" t="s">
        <v>117</v>
      </c>
      <c r="N9" s="48" t="s">
        <v>117</v>
      </c>
    </row>
    <row r="10" spans="1:14" x14ac:dyDescent="0.2">
      <c r="A10" s="17" t="s">
        <v>41</v>
      </c>
      <c r="B10" s="52" t="s">
        <v>42</v>
      </c>
      <c r="C10" s="46" t="s">
        <v>118</v>
      </c>
      <c r="D10" s="48" t="s">
        <v>118</v>
      </c>
      <c r="E10" s="46" t="s">
        <v>43</v>
      </c>
      <c r="F10" s="48" t="s">
        <v>43</v>
      </c>
      <c r="G10" s="46" t="s">
        <v>119</v>
      </c>
      <c r="H10" s="48" t="s">
        <v>119</v>
      </c>
      <c r="I10" s="46" t="s">
        <v>120</v>
      </c>
      <c r="J10" s="48" t="s">
        <v>120</v>
      </c>
      <c r="K10" s="46" t="s">
        <v>121</v>
      </c>
      <c r="L10" s="48" t="s">
        <v>121</v>
      </c>
      <c r="M10" s="52" t="s">
        <v>45</v>
      </c>
      <c r="N10" s="52" t="s">
        <v>46</v>
      </c>
    </row>
    <row r="11" spans="1:14" x14ac:dyDescent="0.2">
      <c r="A11" s="17" t="s">
        <v>47</v>
      </c>
      <c r="B11" s="5" t="s">
        <v>48</v>
      </c>
      <c r="C11" s="5" t="s">
        <v>49</v>
      </c>
      <c r="D11" s="5" t="s">
        <v>50</v>
      </c>
      <c r="E11" s="5" t="s">
        <v>49</v>
      </c>
      <c r="F11" s="5" t="s">
        <v>50</v>
      </c>
      <c r="G11" s="5" t="s">
        <v>49</v>
      </c>
      <c r="H11" s="5" t="s">
        <v>50</v>
      </c>
      <c r="I11" s="5" t="s">
        <v>49</v>
      </c>
      <c r="J11" s="5" t="s">
        <v>50</v>
      </c>
      <c r="K11" s="5" t="s">
        <v>49</v>
      </c>
      <c r="L11" s="5" t="s">
        <v>50</v>
      </c>
      <c r="M11" s="5" t="s">
        <v>51</v>
      </c>
      <c r="N11" s="23" t="s">
        <v>52</v>
      </c>
    </row>
    <row r="12" spans="1:14" x14ac:dyDescent="0.2">
      <c r="A12" s="17" t="s">
        <v>53</v>
      </c>
      <c r="B12" s="9" t="s">
        <v>122</v>
      </c>
      <c r="C12" s="9" t="s">
        <v>122</v>
      </c>
      <c r="D12" s="9" t="s">
        <v>122</v>
      </c>
      <c r="E12" s="9" t="s">
        <v>122</v>
      </c>
      <c r="F12" s="9" t="s">
        <v>122</v>
      </c>
      <c r="G12" s="9" t="s">
        <v>123</v>
      </c>
      <c r="H12" s="9" t="s">
        <v>123</v>
      </c>
      <c r="I12" s="9" t="s">
        <v>124</v>
      </c>
      <c r="J12" s="9" t="s">
        <v>124</v>
      </c>
      <c r="K12" s="9" t="s">
        <v>123</v>
      </c>
      <c r="L12" s="9" t="s">
        <v>123</v>
      </c>
      <c r="M12" s="9" t="s">
        <v>122</v>
      </c>
      <c r="N12" s="24" t="s">
        <v>122</v>
      </c>
    </row>
    <row r="13" spans="1:14" x14ac:dyDescent="0.2">
      <c r="A13" s="17" t="s">
        <v>56</v>
      </c>
      <c r="B13" s="50" t="s">
        <v>57</v>
      </c>
      <c r="C13" s="50" t="s">
        <v>57</v>
      </c>
      <c r="D13" s="50" t="s">
        <v>57</v>
      </c>
      <c r="E13" s="50" t="s">
        <v>57</v>
      </c>
      <c r="F13" s="50" t="s">
        <v>57</v>
      </c>
      <c r="G13" s="50" t="s">
        <v>57</v>
      </c>
      <c r="H13" s="50" t="s">
        <v>57</v>
      </c>
      <c r="I13" s="50" t="s">
        <v>57</v>
      </c>
      <c r="J13" s="50" t="s">
        <v>57</v>
      </c>
      <c r="K13" s="50" t="s">
        <v>57</v>
      </c>
      <c r="L13" s="50" t="s">
        <v>57</v>
      </c>
      <c r="M13" s="50" t="s">
        <v>57</v>
      </c>
      <c r="N13" s="54" t="s">
        <v>57</v>
      </c>
    </row>
    <row r="14" spans="1:14" x14ac:dyDescent="0.2">
      <c r="A14" s="17" t="s">
        <v>58</v>
      </c>
      <c r="B14" s="51" t="s">
        <v>57</v>
      </c>
      <c r="C14" s="51" t="s">
        <v>57</v>
      </c>
      <c r="D14" s="51" t="s">
        <v>57</v>
      </c>
      <c r="E14" s="51" t="s">
        <v>57</v>
      </c>
      <c r="F14" s="51" t="s">
        <v>57</v>
      </c>
      <c r="G14" s="51" t="s">
        <v>57</v>
      </c>
      <c r="H14" s="51" t="s">
        <v>57</v>
      </c>
      <c r="I14" s="51" t="s">
        <v>57</v>
      </c>
      <c r="J14" s="51" t="s">
        <v>57</v>
      </c>
      <c r="K14" s="51" t="s">
        <v>57</v>
      </c>
      <c r="L14" s="51" t="s">
        <v>57</v>
      </c>
      <c r="M14" s="51" t="s">
        <v>57</v>
      </c>
      <c r="N14" s="55" t="s">
        <v>57</v>
      </c>
    </row>
    <row r="15" spans="1:14" x14ac:dyDescent="0.2">
      <c r="A15" s="17" t="s">
        <v>59</v>
      </c>
      <c r="B15" s="49"/>
      <c r="C15" s="49"/>
      <c r="D15" s="49"/>
      <c r="E15" s="49"/>
      <c r="F15" s="49"/>
      <c r="G15" s="49"/>
      <c r="H15" s="49"/>
      <c r="I15" s="49"/>
      <c r="J15" s="49"/>
      <c r="K15" s="49"/>
      <c r="L15" s="49"/>
      <c r="M15" s="49"/>
      <c r="N15" s="53"/>
    </row>
    <row r="16" spans="1:14" x14ac:dyDescent="0.2">
      <c r="A16" s="18" t="s">
        <v>60</v>
      </c>
      <c r="B16" s="12"/>
      <c r="C16" s="12"/>
      <c r="D16" s="12"/>
      <c r="E16" s="12"/>
      <c r="F16" s="12"/>
      <c r="G16" s="12"/>
      <c r="H16" s="12"/>
      <c r="I16" s="12"/>
      <c r="J16" s="12"/>
      <c r="K16" s="12"/>
      <c r="L16" s="12"/>
      <c r="M16" s="12"/>
      <c r="N16" s="25"/>
    </row>
    <row r="17" spans="1:14" hidden="1" x14ac:dyDescent="0.2">
      <c r="A17" s="17" t="s">
        <v>61</v>
      </c>
      <c r="B17" s="6">
        <v>142690</v>
      </c>
      <c r="C17" s="6">
        <v>142691</v>
      </c>
      <c r="D17" s="6">
        <v>142691</v>
      </c>
      <c r="E17" s="6">
        <v>142692</v>
      </c>
      <c r="F17" s="6">
        <v>142692</v>
      </c>
      <c r="G17" s="6">
        <v>142787</v>
      </c>
      <c r="H17" s="6">
        <v>142787</v>
      </c>
      <c r="I17" s="6">
        <v>142770</v>
      </c>
      <c r="J17" s="6">
        <v>142770</v>
      </c>
      <c r="K17" s="6">
        <v>142788</v>
      </c>
      <c r="L17" s="6">
        <v>142788</v>
      </c>
      <c r="M17" s="6">
        <v>142694</v>
      </c>
      <c r="N17" s="26">
        <v>142693</v>
      </c>
    </row>
    <row r="18" spans="1:14" hidden="1" x14ac:dyDescent="0.2">
      <c r="A18" s="17" t="s">
        <v>62</v>
      </c>
      <c r="B18" s="6">
        <v>157</v>
      </c>
      <c r="C18" s="6">
        <v>162</v>
      </c>
      <c r="D18" s="6">
        <v>164</v>
      </c>
      <c r="E18" s="6">
        <v>162</v>
      </c>
      <c r="F18" s="6">
        <v>164</v>
      </c>
      <c r="G18" s="6">
        <v>162</v>
      </c>
      <c r="H18" s="6">
        <v>164</v>
      </c>
      <c r="I18" s="6">
        <v>162</v>
      </c>
      <c r="J18" s="6">
        <v>164</v>
      </c>
      <c r="K18" s="6">
        <v>162</v>
      </c>
      <c r="L18" s="6">
        <v>164</v>
      </c>
      <c r="M18" s="6">
        <v>159</v>
      </c>
      <c r="N18" s="26">
        <v>156</v>
      </c>
    </row>
    <row r="19" spans="1:14" x14ac:dyDescent="0.2">
      <c r="A19" s="19" t="s">
        <v>63</v>
      </c>
      <c r="B19" s="7">
        <v>2.8274900000000001</v>
      </c>
      <c r="C19" s="7">
        <v>2080</v>
      </c>
      <c r="D19" s="11">
        <f>IF(LEFT(C19,1)="&lt;","&lt;",IF(AND(ISNUMBER('012-INFLUENT'!B65),ISNUMBER(C65)),SUM(('012-INFLUENT'!B65 *  C65) * 8.34),""))</f>
        <v>49049.034528000004</v>
      </c>
      <c r="E19" s="7">
        <v>365</v>
      </c>
      <c r="F19" s="11">
        <f>IF(LEFT(E19,1)="&lt;","&lt;",IF(AND(ISNUMBER('012-INFLUENT'!B65),ISNUMBER(E65)),SUM(('012-INFLUENT'!B65 *  E65) * 8.34),""))</f>
        <v>8607.1623089999994</v>
      </c>
      <c r="G19" s="7"/>
      <c r="H19" s="11" t="str">
        <f>IF(LEFT(G19,1)="&lt;","&lt;",IF(AND(ISNUMBER('012-INFLUENT'!B65),ISNUMBER(G65)),SUM(('012-INFLUENT'!B65 *  G65) * 8.34),""))</f>
        <v/>
      </c>
      <c r="I19" s="7"/>
      <c r="J19" s="11" t="str">
        <f>IF(LEFT(I19,1)="&lt;","&lt;",IF(AND(ISNUMBER('012-INFLUENT'!B65),ISNUMBER(I65)),SUM(('012-INFLUENT'!B65 *  I65) * 8.34),""))</f>
        <v/>
      </c>
      <c r="K19" s="7"/>
      <c r="L19" s="11" t="str">
        <f>IF(LEFT(K19,1)="&lt;","&lt;",IF(AND(ISNUMBER('012-INFLUENT'!B65),ISNUMBER(K65)),SUM(('012-INFLUENT'!B65 *  K65) * 8.34),""))</f>
        <v/>
      </c>
      <c r="M19" s="7">
        <v>65</v>
      </c>
      <c r="N19" s="27">
        <v>8.6999999999999993</v>
      </c>
    </row>
    <row r="20" spans="1:14" x14ac:dyDescent="0.2">
      <c r="A20" s="19">
        <v>2</v>
      </c>
      <c r="B20" s="7">
        <v>2.8233899999999998</v>
      </c>
      <c r="C20" s="7">
        <v>2165</v>
      </c>
      <c r="D20" s="11">
        <f>IF(LEFT(C20,1)="&lt;","&lt;",IF(AND(ISNUMBER('012-INFLUENT'!B66),ISNUMBER(C66)),SUM(('012-INFLUENT'!B66 *  C66) * 8.34),""))</f>
        <v>50979.412178999992</v>
      </c>
      <c r="E20" s="7">
        <v>170</v>
      </c>
      <c r="F20" s="11">
        <f>IF(LEFT(E20,1)="&lt;","&lt;",IF(AND(ISNUMBER('012-INFLUENT'!B66),ISNUMBER(E66)),SUM(('012-INFLUENT'!B66 *  E66) * 8.34),""))</f>
        <v>4003.0023419999998</v>
      </c>
      <c r="G20" s="7">
        <v>49.8</v>
      </c>
      <c r="H20" s="11">
        <f>IF(LEFT(G20,1)="&lt;","&lt;",IF(AND(ISNUMBER('012-INFLUENT'!B66),ISNUMBER(G66)),SUM(('012-INFLUENT'!B66 *  G66) * 8.34),""))</f>
        <v>1172.64421548</v>
      </c>
      <c r="I20" s="7">
        <v>48</v>
      </c>
      <c r="J20" s="11">
        <f>IF(LEFT(I20,1)="&lt;","&lt;",IF(AND(ISNUMBER('012-INFLUENT'!B66),ISNUMBER(I66)),SUM(('012-INFLUENT'!B66 *  I66) * 8.34),""))</f>
        <v>1130.2594847999999</v>
      </c>
      <c r="K20" s="7">
        <v>3.1</v>
      </c>
      <c r="L20" s="11">
        <f>IF(LEFT(K20,1)="&lt;","&lt;",IF(AND(ISNUMBER('012-INFLUENT'!B66),ISNUMBER(K66)),SUM(('012-INFLUENT'!B66 *  K66) * 8.34),""))</f>
        <v>72.995925060000005</v>
      </c>
      <c r="M20" s="7">
        <v>65.400000000000006</v>
      </c>
      <c r="N20" s="27">
        <v>12.1</v>
      </c>
    </row>
    <row r="21" spans="1:14" x14ac:dyDescent="0.2">
      <c r="A21" s="19">
        <v>3</v>
      </c>
      <c r="B21" s="7">
        <v>3.4556800000000001</v>
      </c>
      <c r="C21" s="7">
        <v>2001</v>
      </c>
      <c r="D21" s="11">
        <f>IF(LEFT(C21,1)="&lt;","&lt;",IF(AND(ISNUMBER('012-INFLUENT'!B67),ISNUMBER(C67)),SUM(('012-INFLUENT'!B67 *  C67) * 8.34),""))</f>
        <v>57669.562771200006</v>
      </c>
      <c r="E21" s="7">
        <v>70</v>
      </c>
      <c r="F21" s="11">
        <f>IF(LEFT(E21,1)="&lt;","&lt;",IF(AND(ISNUMBER('012-INFLUENT'!B67),ISNUMBER(E67)),SUM(('012-INFLUENT'!B67 *  E67) * 8.34),""))</f>
        <v>2017.425984</v>
      </c>
      <c r="G21" s="7"/>
      <c r="H21" s="11" t="str">
        <f>IF(LEFT(G21,1)="&lt;","&lt;",IF(AND(ISNUMBER('012-INFLUENT'!B67),ISNUMBER(G67)),SUM(('012-INFLUENT'!B67 *  G67) * 8.34),""))</f>
        <v/>
      </c>
      <c r="I21" s="7"/>
      <c r="J21" s="11" t="str">
        <f>IF(LEFT(I21,1)="&lt;","&lt;",IF(AND(ISNUMBER('012-INFLUENT'!B67),ISNUMBER(I67)),SUM(('012-INFLUENT'!B67 *  I67) * 8.34),""))</f>
        <v/>
      </c>
      <c r="K21" s="7"/>
      <c r="L21" s="11" t="str">
        <f>IF(LEFT(K21,1)="&lt;","&lt;",IF(AND(ISNUMBER('012-INFLUENT'!B67),ISNUMBER(K67)),SUM(('012-INFLUENT'!B67 *  K67) * 8.34),""))</f>
        <v/>
      </c>
      <c r="M21" s="7">
        <v>68.3</v>
      </c>
      <c r="N21" s="27">
        <v>6.94</v>
      </c>
    </row>
    <row r="22" spans="1:14" x14ac:dyDescent="0.2">
      <c r="A22" s="19">
        <v>4</v>
      </c>
      <c r="B22" s="7">
        <v>3.7682500000000001</v>
      </c>
      <c r="C22" s="7">
        <v>2130</v>
      </c>
      <c r="D22" s="11">
        <f>IF(LEFT(C22,1)="&lt;","&lt;",IF(AND(ISNUMBER('012-INFLUENT'!B68),ISNUMBER(C68)),SUM(('012-INFLUENT'!B68 *  C68) * 8.34),""))</f>
        <v>66939.946649999998</v>
      </c>
      <c r="E22" s="7">
        <v>80</v>
      </c>
      <c r="F22" s="11">
        <f>IF(LEFT(E22,1)="&lt;","&lt;",IF(AND(ISNUMBER('012-INFLUENT'!B68),ISNUMBER(E68)),SUM(('012-INFLUENT'!B68 *  E68) * 8.34),""))</f>
        <v>2514.1764000000003</v>
      </c>
      <c r="G22" s="7"/>
      <c r="H22" s="11" t="str">
        <f>IF(LEFT(G22,1)="&lt;","&lt;",IF(AND(ISNUMBER('012-INFLUENT'!B68),ISNUMBER(G68)),SUM(('012-INFLUENT'!B68 *  G68) * 8.34),""))</f>
        <v/>
      </c>
      <c r="I22" s="7"/>
      <c r="J22" s="11" t="str">
        <f>IF(LEFT(I22,1)="&lt;","&lt;",IF(AND(ISNUMBER('012-INFLUENT'!B68),ISNUMBER(I68)),SUM(('012-INFLUENT'!B68 *  I68) * 8.34),""))</f>
        <v/>
      </c>
      <c r="K22" s="7"/>
      <c r="L22" s="11" t="str">
        <f>IF(LEFT(K22,1)="&lt;","&lt;",IF(AND(ISNUMBER('012-INFLUENT'!B68),ISNUMBER(K68)),SUM(('012-INFLUENT'!B68 *  K68) * 8.34),""))</f>
        <v/>
      </c>
      <c r="M22" s="7">
        <v>59.9</v>
      </c>
      <c r="N22" s="27">
        <v>10.62</v>
      </c>
    </row>
    <row r="23" spans="1:14" x14ac:dyDescent="0.2">
      <c r="A23" s="19">
        <v>5</v>
      </c>
      <c r="B23" s="7">
        <v>3.4095300000000002</v>
      </c>
      <c r="C23" s="7">
        <v>2050</v>
      </c>
      <c r="D23" s="11">
        <f>IF(LEFT(C23,1)="&lt;","&lt;",IF(AND(ISNUMBER('012-INFLUENT'!B69),ISNUMBER(C69)),SUM(('012-INFLUENT'!B69 *  C69) * 8.34),""))</f>
        <v>58292.734409999997</v>
      </c>
      <c r="E23" s="7">
        <v>155</v>
      </c>
      <c r="F23" s="11">
        <f>IF(LEFT(E23,1)="&lt;","&lt;",IF(AND(ISNUMBER('012-INFLUENT'!B69),ISNUMBER(E69)),SUM(('012-INFLUENT'!B69 *  E69) * 8.34),""))</f>
        <v>4407.4994310000002</v>
      </c>
      <c r="G23" s="7"/>
      <c r="H23" s="11" t="str">
        <f>IF(LEFT(G23,1)="&lt;","&lt;",IF(AND(ISNUMBER('012-INFLUENT'!B69),ISNUMBER(G69)),SUM(('012-INFLUENT'!B69 *  G69) * 8.34),""))</f>
        <v/>
      </c>
      <c r="I23" s="7"/>
      <c r="J23" s="11" t="str">
        <f>IF(LEFT(I23,1)="&lt;","&lt;",IF(AND(ISNUMBER('012-INFLUENT'!B69),ISNUMBER(I69)),SUM(('012-INFLUENT'!B69 *  I69) * 8.34),""))</f>
        <v/>
      </c>
      <c r="K23" s="7"/>
      <c r="L23" s="11" t="str">
        <f>IF(LEFT(K23,1)="&lt;","&lt;",IF(AND(ISNUMBER('012-INFLUENT'!B69),ISNUMBER(K69)),SUM(('012-INFLUENT'!B69 *  K69) * 8.34),""))</f>
        <v/>
      </c>
      <c r="M23" s="7">
        <v>85</v>
      </c>
      <c r="N23" s="27">
        <v>10.7</v>
      </c>
    </row>
    <row r="24" spans="1:14" x14ac:dyDescent="0.2">
      <c r="A24" s="19">
        <v>6</v>
      </c>
      <c r="B24" s="7">
        <v>3.6379700000000001</v>
      </c>
      <c r="C24" s="7">
        <v>1781</v>
      </c>
      <c r="D24" s="11">
        <f>IF(LEFT(C24,1)="&lt;","&lt;",IF(AND(ISNUMBER('012-INFLUENT'!B70),ISNUMBER(C70)),SUM(('012-INFLUENT'!B70 *  C70) * 8.34),""))</f>
        <v>54036.732913799999</v>
      </c>
      <c r="E24" s="7">
        <v>120</v>
      </c>
      <c r="F24" s="11">
        <f>IF(LEFT(E24,1)="&lt;","&lt;",IF(AND(ISNUMBER('012-INFLUENT'!B70),ISNUMBER(E70)),SUM(('012-INFLUENT'!B70 *  E70) * 8.34),""))</f>
        <v>3640.8803760000001</v>
      </c>
      <c r="G24" s="7"/>
      <c r="H24" s="11" t="str">
        <f>IF(LEFT(G24,1)="&lt;","&lt;",IF(AND(ISNUMBER('012-INFLUENT'!B70),ISNUMBER(G70)),SUM(('012-INFLUENT'!B70 *  G70) * 8.34),""))</f>
        <v/>
      </c>
      <c r="I24" s="7"/>
      <c r="J24" s="11" t="str">
        <f>IF(LEFT(I24,1)="&lt;","&lt;",IF(AND(ISNUMBER('012-INFLUENT'!B70),ISNUMBER(I70)),SUM(('012-INFLUENT'!B70 *  I70) * 8.34),""))</f>
        <v/>
      </c>
      <c r="K24" s="7"/>
      <c r="L24" s="11" t="str">
        <f>IF(LEFT(K24,1)="&lt;","&lt;",IF(AND(ISNUMBER('012-INFLUENT'!B70),ISNUMBER(K70)),SUM(('012-INFLUENT'!B70 *  K70) * 8.34),""))</f>
        <v/>
      </c>
      <c r="M24" s="7">
        <v>75</v>
      </c>
      <c r="N24" s="27">
        <v>2</v>
      </c>
    </row>
    <row r="25" spans="1:14" x14ac:dyDescent="0.2">
      <c r="A25" s="20">
        <v>7</v>
      </c>
      <c r="B25" s="12">
        <v>3.40422</v>
      </c>
      <c r="C25" s="12">
        <v>1509</v>
      </c>
      <c r="D25" s="14">
        <f>IF(LEFT(C25,1)="&lt;","&lt;",IF(AND(ISNUMBER('012-INFLUENT'!B71),ISNUMBER(C71)),SUM(('012-INFLUENT'!B71 *  C71) * 8.34),""))</f>
        <v>42842.312953200002</v>
      </c>
      <c r="E25" s="12">
        <v>165</v>
      </c>
      <c r="F25" s="14">
        <f>IF(LEFT(E25,1)="&lt;","&lt;",IF(AND(ISNUMBER('012-INFLUENT'!B71),ISNUMBER(E71)),SUM(('012-INFLUENT'!B71 *  E71) * 8.34),""))</f>
        <v>4684.5471419999994</v>
      </c>
      <c r="G25" s="12"/>
      <c r="H25" s="14" t="str">
        <f>IF(LEFT(G25,1)="&lt;","&lt;",IF(AND(ISNUMBER('012-INFLUENT'!B71),ISNUMBER(G71)),SUM(('012-INFLUENT'!B71 *  G71) * 8.34),""))</f>
        <v/>
      </c>
      <c r="I25" s="12"/>
      <c r="J25" s="14" t="str">
        <f>IF(LEFT(I25,1)="&lt;","&lt;",IF(AND(ISNUMBER('012-INFLUENT'!B71),ISNUMBER(I71)),SUM(('012-INFLUENT'!B71 *  I71) * 8.34),""))</f>
        <v/>
      </c>
      <c r="K25" s="12"/>
      <c r="L25" s="14" t="str">
        <f>IF(LEFT(K25,1)="&lt;","&lt;",IF(AND(ISNUMBER('012-INFLUENT'!B71),ISNUMBER(K71)),SUM(('012-INFLUENT'!B71 *  K71) * 8.34),""))</f>
        <v/>
      </c>
      <c r="M25" s="12">
        <v>77</v>
      </c>
      <c r="N25" s="25">
        <v>10.9</v>
      </c>
    </row>
    <row r="26" spans="1:14" x14ac:dyDescent="0.2">
      <c r="A26" s="19">
        <v>8</v>
      </c>
      <c r="B26" s="7">
        <v>3.3426200000000001</v>
      </c>
      <c r="C26" s="7">
        <v>1473</v>
      </c>
      <c r="D26" s="11">
        <f>IF(LEFT(C26,1)="&lt;","&lt;",IF(AND(ISNUMBER('012-INFLUENT'!B72),ISNUMBER(C72)),SUM(('012-INFLUENT'!B72 *  C72) * 8.34),""))</f>
        <v>41063.485028399999</v>
      </c>
      <c r="E26" s="7">
        <v>715</v>
      </c>
      <c r="F26" s="11">
        <f>IF(LEFT(E26,1)="&lt;","&lt;",IF(AND(ISNUMBER('012-INFLUENT'!B72),ISNUMBER(E72)),SUM(('012-INFLUENT'!B72 *  E72) * 8.34),""))</f>
        <v>19932.377322</v>
      </c>
      <c r="G26" s="7">
        <v>80.599999999999994</v>
      </c>
      <c r="H26" s="11">
        <f>IF(LEFT(G26,1)="&lt;","&lt;",IF(AND(ISNUMBER('012-INFLUENT'!B72),ISNUMBER(G72)),SUM(('012-INFLUENT'!B72 *  G72) * 8.34),""))</f>
        <v>2246.9225344799997</v>
      </c>
      <c r="I26" s="7">
        <v>79</v>
      </c>
      <c r="J26" s="11">
        <f>IF(LEFT(I26,1)="&lt;","&lt;",IF(AND(ISNUMBER('012-INFLUENT'!B72),ISNUMBER(I72)),SUM(('012-INFLUENT'!B72 *  I72) * 8.34),""))</f>
        <v>2202.3186132000001</v>
      </c>
      <c r="K26" s="7">
        <v>5.6</v>
      </c>
      <c r="L26" s="11">
        <f>IF(LEFT(K26,1)="&lt;","&lt;",IF(AND(ISNUMBER('012-INFLUENT'!B72),ISNUMBER(K72)),SUM(('012-INFLUENT'!B72 *  K72) * 8.34),""))</f>
        <v>156.11372447999997</v>
      </c>
      <c r="M26" s="7">
        <v>81</v>
      </c>
      <c r="N26" s="27">
        <v>2.2000000000000002</v>
      </c>
    </row>
    <row r="27" spans="1:14" x14ac:dyDescent="0.2">
      <c r="A27" s="19">
        <v>9</v>
      </c>
      <c r="B27" s="7">
        <v>3.1974900000000002</v>
      </c>
      <c r="C27" s="7">
        <v>1536</v>
      </c>
      <c r="D27" s="11">
        <f>IF(LEFT(C27,1)="&lt;","&lt;",IF(AND(ISNUMBER('012-INFLUENT'!B73),ISNUMBER(C73)),SUM(('012-INFLUENT'!B73 *  C73) * 8.34),""))</f>
        <v>40960.614297600005</v>
      </c>
      <c r="E27" s="7">
        <v>200</v>
      </c>
      <c r="F27" s="11">
        <f>IF(LEFT(E27,1)="&lt;","&lt;",IF(AND(ISNUMBER('012-INFLUENT'!B73),ISNUMBER(E73)),SUM(('012-INFLUENT'!B73 *  E73) * 8.34),""))</f>
        <v>5333.4133200000006</v>
      </c>
      <c r="G27" s="7"/>
      <c r="H27" s="11" t="str">
        <f>IF(LEFT(G27,1)="&lt;","&lt;",IF(AND(ISNUMBER('012-INFLUENT'!B73),ISNUMBER(G73)),SUM(('012-INFLUENT'!B73 *  G73) * 8.34),""))</f>
        <v/>
      </c>
      <c r="I27" s="7"/>
      <c r="J27" s="11" t="str">
        <f>IF(LEFT(I27,1)="&lt;","&lt;",IF(AND(ISNUMBER('012-INFLUENT'!B73),ISNUMBER(I73)),SUM(('012-INFLUENT'!B73 *  I73) * 8.34),""))</f>
        <v/>
      </c>
      <c r="K27" s="7"/>
      <c r="L27" s="11" t="str">
        <f>IF(LEFT(K27,1)="&lt;","&lt;",IF(AND(ISNUMBER('012-INFLUENT'!B73),ISNUMBER(K73)),SUM(('012-INFLUENT'!B73 *  K73) * 8.34),""))</f>
        <v/>
      </c>
      <c r="M27" s="7">
        <v>79</v>
      </c>
      <c r="N27" s="27">
        <v>7.2</v>
      </c>
    </row>
    <row r="28" spans="1:14" x14ac:dyDescent="0.2">
      <c r="A28" s="19">
        <v>10</v>
      </c>
      <c r="B28" s="7">
        <v>3.3944200000000002</v>
      </c>
      <c r="C28" s="7">
        <v>1830</v>
      </c>
      <c r="D28" s="11">
        <f>IF(LEFT(C28,1)="&lt;","&lt;",IF(AND(ISNUMBER('012-INFLUENT'!B74),ISNUMBER(C74)),SUM(('012-INFLUENT'!B74 *  C74) * 8.34),""))</f>
        <v>51806.316924000006</v>
      </c>
      <c r="E28" s="7">
        <v>120</v>
      </c>
      <c r="F28" s="11">
        <f>IF(LEFT(E28,1)="&lt;","&lt;",IF(AND(ISNUMBER('012-INFLUENT'!B74),ISNUMBER(E74)),SUM(('012-INFLUENT'!B74 *  E74) * 8.34),""))</f>
        <v>3397.1355360000002</v>
      </c>
      <c r="G28" s="7"/>
      <c r="H28" s="11" t="str">
        <f>IF(LEFT(G28,1)="&lt;","&lt;",IF(AND(ISNUMBER('012-INFLUENT'!B74),ISNUMBER(G74)),SUM(('012-INFLUENT'!B74 *  G74) * 8.34),""))</f>
        <v/>
      </c>
      <c r="I28" s="7"/>
      <c r="J28" s="11" t="str">
        <f>IF(LEFT(I28,1)="&lt;","&lt;",IF(AND(ISNUMBER('012-INFLUENT'!B74),ISNUMBER(I74)),SUM(('012-INFLUENT'!B74 *  I74) * 8.34),""))</f>
        <v/>
      </c>
      <c r="K28" s="7"/>
      <c r="L28" s="11" t="str">
        <f>IF(LEFT(K28,1)="&lt;","&lt;",IF(AND(ISNUMBER('012-INFLUENT'!B74),ISNUMBER(K74)),SUM(('012-INFLUENT'!B74 *  K74) * 8.34),""))</f>
        <v/>
      </c>
      <c r="M28" s="7">
        <v>82</v>
      </c>
      <c r="N28" s="27">
        <v>1.9</v>
      </c>
    </row>
    <row r="29" spans="1:14" x14ac:dyDescent="0.2">
      <c r="A29" s="19">
        <v>11</v>
      </c>
      <c r="B29" s="7">
        <v>3.7669800000000002</v>
      </c>
      <c r="C29" s="7">
        <v>1332</v>
      </c>
      <c r="D29" s="11">
        <f>IF(LEFT(C29,1)="&lt;","&lt;",IF(AND(ISNUMBER('012-INFLUENT'!B75),ISNUMBER(C75)),SUM(('012-INFLUENT'!B75 *  C75) * 8.34),""))</f>
        <v>41846.928782399998</v>
      </c>
      <c r="E29" s="7">
        <v>165</v>
      </c>
      <c r="F29" s="11">
        <f>IF(LEFT(E29,1)="&lt;","&lt;",IF(AND(ISNUMBER('012-INFLUENT'!B75),ISNUMBER(E75)),SUM(('012-INFLUENT'!B75 *  E75) * 8.34),""))</f>
        <v>5183.7411780000002</v>
      </c>
      <c r="G29" s="7"/>
      <c r="H29" s="11" t="str">
        <f>IF(LEFT(G29,1)="&lt;","&lt;",IF(AND(ISNUMBER('012-INFLUENT'!B75),ISNUMBER(G75)),SUM(('012-INFLUENT'!B75 *  G75) * 8.34),""))</f>
        <v/>
      </c>
      <c r="I29" s="7"/>
      <c r="J29" s="11" t="str">
        <f>IF(LEFT(I29,1)="&lt;","&lt;",IF(AND(ISNUMBER('012-INFLUENT'!B75),ISNUMBER(I75)),SUM(('012-INFLUENT'!B75 *  I75) * 8.34),""))</f>
        <v/>
      </c>
      <c r="K29" s="7"/>
      <c r="L29" s="11" t="str">
        <f>IF(LEFT(K29,1)="&lt;","&lt;",IF(AND(ISNUMBER('012-INFLUENT'!B75),ISNUMBER(K75)),SUM(('012-INFLUENT'!B75 *  K75) * 8.34),""))</f>
        <v/>
      </c>
      <c r="M29" s="7">
        <v>70</v>
      </c>
      <c r="N29" s="27">
        <v>12.3</v>
      </c>
    </row>
    <row r="30" spans="1:14" x14ac:dyDescent="0.2">
      <c r="A30" s="19">
        <v>12</v>
      </c>
      <c r="B30" s="7">
        <v>3.5076999999999998</v>
      </c>
      <c r="C30" s="7">
        <v>3090</v>
      </c>
      <c r="D30" s="11">
        <f>IF(LEFT(C30,1)="&lt;","&lt;",IF(AND(ISNUMBER('012-INFLUENT'!B76),ISNUMBER(C76)),SUM(('012-INFLUENT'!B76 *  C76) * 8.34),""))</f>
        <v>90395.533620000002</v>
      </c>
      <c r="E30" s="7">
        <v>880</v>
      </c>
      <c r="F30" s="11">
        <f>IF(LEFT(E30,1)="&lt;","&lt;",IF(AND(ISNUMBER('012-INFLUENT'!B76),ISNUMBER(E76)),SUM(('012-INFLUENT'!B76 *  E76) * 8.34),""))</f>
        <v>25743.71184</v>
      </c>
      <c r="G30" s="7"/>
      <c r="H30" s="11" t="str">
        <f>IF(LEFT(G30,1)="&lt;","&lt;",IF(AND(ISNUMBER('012-INFLUENT'!B76),ISNUMBER(G76)),SUM(('012-INFLUENT'!B76 *  G76) * 8.34),""))</f>
        <v/>
      </c>
      <c r="I30" s="7"/>
      <c r="J30" s="11" t="str">
        <f>IF(LEFT(I30,1)="&lt;","&lt;",IF(AND(ISNUMBER('012-INFLUENT'!B76),ISNUMBER(I76)),SUM(('012-INFLUENT'!B76 *  I76) * 8.34),""))</f>
        <v/>
      </c>
      <c r="K30" s="7"/>
      <c r="L30" s="11" t="str">
        <f>IF(LEFT(K30,1)="&lt;","&lt;",IF(AND(ISNUMBER('012-INFLUENT'!B76),ISNUMBER(K76)),SUM(('012-INFLUENT'!B76 *  K76) * 8.34),""))</f>
        <v/>
      </c>
      <c r="M30" s="7">
        <v>75</v>
      </c>
      <c r="N30" s="27">
        <v>11.3</v>
      </c>
    </row>
    <row r="31" spans="1:14" x14ac:dyDescent="0.2">
      <c r="A31" s="19">
        <v>13</v>
      </c>
      <c r="B31" s="7">
        <v>3.8108399999999998</v>
      </c>
      <c r="C31" s="7">
        <v>2705</v>
      </c>
      <c r="D31" s="11">
        <f>IF(LEFT(C31,1)="&lt;","&lt;",IF(AND(ISNUMBER('012-INFLUENT'!B77),ISNUMBER(C77)),SUM(('012-INFLUENT'!B77 *  C77) * 8.34),""))</f>
        <v>85971.407147999984</v>
      </c>
      <c r="E31" s="7">
        <v>1635</v>
      </c>
      <c r="F31" s="11">
        <f>IF(LEFT(E31,1)="&lt;","&lt;",IF(AND(ISNUMBER('012-INFLUENT'!B77),ISNUMBER(E77)),SUM(('012-INFLUENT'!B77 *  E77) * 8.34),""))</f>
        <v>51964.233155999995</v>
      </c>
      <c r="G31" s="7"/>
      <c r="H31" s="11" t="str">
        <f>IF(LEFT(G31,1)="&lt;","&lt;",IF(AND(ISNUMBER('012-INFLUENT'!B77),ISNUMBER(G77)),SUM(('012-INFLUENT'!B77 *  G77) * 8.34),""))</f>
        <v/>
      </c>
      <c r="I31" s="7"/>
      <c r="J31" s="11" t="str">
        <f>IF(LEFT(I31,1)="&lt;","&lt;",IF(AND(ISNUMBER('012-INFLUENT'!B77),ISNUMBER(I77)),SUM(('012-INFLUENT'!B77 *  I77) * 8.34),""))</f>
        <v/>
      </c>
      <c r="K31" s="7"/>
      <c r="L31" s="11" t="str">
        <f>IF(LEFT(K31,1)="&lt;","&lt;",IF(AND(ISNUMBER('012-INFLUENT'!B77),ISNUMBER(K77)),SUM(('012-INFLUENT'!B77 *  K77) * 8.34),""))</f>
        <v/>
      </c>
      <c r="M31" s="7">
        <v>83</v>
      </c>
      <c r="N31" s="27">
        <v>10.199999999999999</v>
      </c>
    </row>
    <row r="32" spans="1:14" x14ac:dyDescent="0.2">
      <c r="A32" s="20">
        <v>14</v>
      </c>
      <c r="B32" s="12">
        <v>3.83264</v>
      </c>
      <c r="C32" s="12">
        <v>2595</v>
      </c>
      <c r="D32" s="14">
        <f>IF(LEFT(C32,1)="&lt;","&lt;",IF(AND(ISNUMBER('012-INFLUENT'!B78),ISNUMBER(C78)),SUM(('012-INFLUENT'!B78 *  C78) * 8.34),""))</f>
        <v>82947.144672000009</v>
      </c>
      <c r="E32" s="12">
        <v>580</v>
      </c>
      <c r="F32" s="14">
        <f>IF(LEFT(E32,1)="&lt;","&lt;",IF(AND(ISNUMBER('012-INFLUENT'!B78),ISNUMBER(E78)),SUM(('012-INFLUENT'!B78 *  E78) * 8.34),""))</f>
        <v>18539.246208</v>
      </c>
      <c r="G32" s="12"/>
      <c r="H32" s="14" t="str">
        <f>IF(LEFT(G32,1)="&lt;","&lt;",IF(AND(ISNUMBER('012-INFLUENT'!B78),ISNUMBER(G78)),SUM(('012-INFLUENT'!B78 *  G78) * 8.34),""))</f>
        <v/>
      </c>
      <c r="I32" s="12"/>
      <c r="J32" s="14" t="str">
        <f>IF(LEFT(I32,1)="&lt;","&lt;",IF(AND(ISNUMBER('012-INFLUENT'!B78),ISNUMBER(I78)),SUM(('012-INFLUENT'!B78 *  I78) * 8.34),""))</f>
        <v/>
      </c>
      <c r="K32" s="12"/>
      <c r="L32" s="14" t="str">
        <f>IF(LEFT(K32,1)="&lt;","&lt;",IF(AND(ISNUMBER('012-INFLUENT'!B78),ISNUMBER(K78)),SUM(('012-INFLUENT'!B78 *  K78) * 8.34),""))</f>
        <v/>
      </c>
      <c r="M32" s="12">
        <v>78</v>
      </c>
      <c r="N32" s="25">
        <v>5.8</v>
      </c>
    </row>
    <row r="33" spans="1:14" x14ac:dyDescent="0.2">
      <c r="A33" s="19">
        <v>15</v>
      </c>
      <c r="B33" s="7">
        <v>3.5519599999999998</v>
      </c>
      <c r="C33" s="7">
        <v>1991</v>
      </c>
      <c r="D33" s="11">
        <f>IF(LEFT(C33,1)="&lt;","&lt;",IF(AND(ISNUMBER('012-INFLUENT'!B79),ISNUMBER(C79)),SUM(('012-INFLUENT'!B79 *  C79) * 8.34),""))</f>
        <v>58980.082682399996</v>
      </c>
      <c r="E33" s="7">
        <v>285</v>
      </c>
      <c r="F33" s="11">
        <f>IF(LEFT(E33,1)="&lt;","&lt;",IF(AND(ISNUMBER('012-INFLUENT'!B79),ISNUMBER(E79)),SUM(('012-INFLUENT'!B79 *  E79) * 8.34),""))</f>
        <v>8442.6537239999998</v>
      </c>
      <c r="G33" s="7">
        <v>201.2</v>
      </c>
      <c r="H33" s="11">
        <f>IF(LEFT(G33,1)="&lt;","&lt;",IF(AND(ISNUMBER('012-INFLUENT'!B79),ISNUMBER(G79)),SUM(('012-INFLUENT'!B79 *  G79) * 8.34),""))</f>
        <v>5960.2172956799986</v>
      </c>
      <c r="I33" s="7">
        <v>200</v>
      </c>
      <c r="J33" s="11">
        <f>IF(LEFT(I33,1)="&lt;","&lt;",IF(AND(ISNUMBER('012-INFLUENT'!B79),ISNUMBER(I79)),SUM(('012-INFLUENT'!B79 *  I79) * 8.34),""))</f>
        <v>5924.6692799999992</v>
      </c>
      <c r="K33" s="7">
        <v>4.5999999999999996</v>
      </c>
      <c r="L33" s="11">
        <f>IF(LEFT(K33,1)="&lt;","&lt;",IF(AND(ISNUMBER('012-INFLUENT'!B79),ISNUMBER(K79)),SUM(('012-INFLUENT'!B79 *  K79) * 8.34),""))</f>
        <v>136.26739343999998</v>
      </c>
      <c r="M33" s="7">
        <v>77</v>
      </c>
      <c r="N33" s="27">
        <v>4.9000000000000004</v>
      </c>
    </row>
    <row r="34" spans="1:14" x14ac:dyDescent="0.2">
      <c r="A34" s="19">
        <v>16</v>
      </c>
      <c r="B34" s="7">
        <v>4.0730599999999999</v>
      </c>
      <c r="C34" s="7">
        <v>1748</v>
      </c>
      <c r="D34" s="11">
        <f>IF(LEFT(C34,1)="&lt;","&lt;",IF(AND(ISNUMBER('012-INFLUENT'!B80),ISNUMBER(C80)),SUM(('012-INFLUENT'!B80 *  C80) * 8.34),""))</f>
        <v>59378.372059200003</v>
      </c>
      <c r="E34" s="7">
        <v>315</v>
      </c>
      <c r="F34" s="11">
        <f>IF(LEFT(E34,1)="&lt;","&lt;",IF(AND(ISNUMBER('012-INFLUENT'!B80),ISNUMBER(E80)),SUM(('012-INFLUENT'!B80 *  E80) * 8.34),""))</f>
        <v>10700.335926</v>
      </c>
      <c r="G34" s="7"/>
      <c r="H34" s="11" t="str">
        <f>IF(LEFT(G34,1)="&lt;","&lt;",IF(AND(ISNUMBER('012-INFLUENT'!B80),ISNUMBER(G80)),SUM(('012-INFLUENT'!B80 *  G80) * 8.34),""))</f>
        <v/>
      </c>
      <c r="I34" s="7"/>
      <c r="J34" s="11" t="str">
        <f>IF(LEFT(I34,1)="&lt;","&lt;",IF(AND(ISNUMBER('012-INFLUENT'!B80),ISNUMBER(I80)),SUM(('012-INFLUENT'!B80 *  I80) * 8.34),""))</f>
        <v/>
      </c>
      <c r="K34" s="7"/>
      <c r="L34" s="11" t="str">
        <f>IF(LEFT(K34,1)="&lt;","&lt;",IF(AND(ISNUMBER('012-INFLUENT'!B80),ISNUMBER(K80)),SUM(('012-INFLUENT'!B80 *  K80) * 8.34),""))</f>
        <v/>
      </c>
      <c r="M34" s="7">
        <v>84</v>
      </c>
      <c r="N34" s="27">
        <v>11.6</v>
      </c>
    </row>
    <row r="35" spans="1:14" x14ac:dyDescent="0.2">
      <c r="A35" s="19">
        <v>17</v>
      </c>
      <c r="B35" s="7">
        <v>4.16174</v>
      </c>
      <c r="C35" s="7">
        <v>1871</v>
      </c>
      <c r="D35" s="11">
        <f>IF(LEFT(C35,1)="&lt;","&lt;",IF(AND(ISNUMBER('012-INFLUENT'!B81),ISNUMBER(C81)),SUM(('012-INFLUENT'!B81 *  C81) * 8.34),""))</f>
        <v>64940.373603599997</v>
      </c>
      <c r="E35" s="7">
        <v>965</v>
      </c>
      <c r="F35" s="11">
        <f>IF(LEFT(E35,1)="&lt;","&lt;",IF(AND(ISNUMBER('012-INFLUENT'!B81),ISNUMBER(E81)),SUM(('012-INFLUENT'!B81 *  E81) * 8.34),""))</f>
        <v>33494.099693999997</v>
      </c>
      <c r="G35" s="7"/>
      <c r="H35" s="11" t="str">
        <f>IF(LEFT(G35,1)="&lt;","&lt;",IF(AND(ISNUMBER('012-INFLUENT'!B81),ISNUMBER(G81)),SUM(('012-INFLUENT'!B81 *  G81) * 8.34),""))</f>
        <v/>
      </c>
      <c r="I35" s="7"/>
      <c r="J35" s="11" t="str">
        <f>IF(LEFT(I35,1)="&lt;","&lt;",IF(AND(ISNUMBER('012-INFLUENT'!B81),ISNUMBER(I81)),SUM(('012-INFLUENT'!B81 *  I81) * 8.34),""))</f>
        <v/>
      </c>
      <c r="K35" s="7"/>
      <c r="L35" s="11" t="str">
        <f>IF(LEFT(K35,1)="&lt;","&lt;",IF(AND(ISNUMBER('012-INFLUENT'!B81),ISNUMBER(K81)),SUM(('012-INFLUENT'!B81 *  K81) * 8.34),""))</f>
        <v/>
      </c>
      <c r="M35" s="7">
        <v>83</v>
      </c>
      <c r="N35" s="27">
        <v>5.2</v>
      </c>
    </row>
    <row r="36" spans="1:14" x14ac:dyDescent="0.2">
      <c r="A36" s="19">
        <v>18</v>
      </c>
      <c r="B36" s="7">
        <v>4.4329700000000001</v>
      </c>
      <c r="C36" s="7">
        <v>1793</v>
      </c>
      <c r="D36" s="11">
        <f>IF(LEFT(C36,1)="&lt;","&lt;",IF(AND(ISNUMBER('012-INFLUENT'!B82),ISNUMBER(C82)),SUM(('012-INFLUENT'!B82 *  C82) * 8.34),""))</f>
        <v>66288.948851399997</v>
      </c>
      <c r="E36" s="7">
        <v>735</v>
      </c>
      <c r="F36" s="11">
        <f>IF(LEFT(E36,1)="&lt;","&lt;",IF(AND(ISNUMBER('012-INFLUENT'!B82),ISNUMBER(E82)),SUM(('012-INFLUENT'!B82 *  E82) * 8.34),""))</f>
        <v>27173.662802999999</v>
      </c>
      <c r="G36" s="7"/>
      <c r="H36" s="11" t="str">
        <f>IF(LEFT(G36,1)="&lt;","&lt;",IF(AND(ISNUMBER('012-INFLUENT'!B82),ISNUMBER(G82)),SUM(('012-INFLUENT'!B82 *  G82) * 8.34),""))</f>
        <v/>
      </c>
      <c r="I36" s="7"/>
      <c r="J36" s="11" t="str">
        <f>IF(LEFT(I36,1)="&lt;","&lt;",IF(AND(ISNUMBER('012-INFLUENT'!B82),ISNUMBER(I82)),SUM(('012-INFLUENT'!B82 *  I82) * 8.34),""))</f>
        <v/>
      </c>
      <c r="K36" s="7"/>
      <c r="L36" s="11" t="str">
        <f>IF(LEFT(K36,1)="&lt;","&lt;",IF(AND(ISNUMBER('012-INFLUENT'!B82),ISNUMBER(K82)),SUM(('012-INFLUENT'!B82 *  K82) * 8.34),""))</f>
        <v/>
      </c>
      <c r="M36" s="7">
        <v>84</v>
      </c>
      <c r="N36" s="27">
        <v>7.3</v>
      </c>
    </row>
    <row r="37" spans="1:14" x14ac:dyDescent="0.2">
      <c r="A37" s="19">
        <v>19</v>
      </c>
      <c r="B37" s="7">
        <v>3.90137</v>
      </c>
      <c r="C37" s="7">
        <v>184.44</v>
      </c>
      <c r="D37" s="11">
        <f>IF(LEFT(C37,1)="&lt;","&lt;",IF(AND(ISNUMBER('012-INFLUENT'!B83),ISNUMBER(C83)),SUM(('012-INFLUENT'!B83 *  C83) * 8.34),""))</f>
        <v>6001.2028145519998</v>
      </c>
      <c r="E37" s="7">
        <v>135</v>
      </c>
      <c r="F37" s="11">
        <f>IF(LEFT(E37,1)="&lt;","&lt;",IF(AND(ISNUMBER('012-INFLUENT'!B83),ISNUMBER(E83)),SUM(('012-INFLUENT'!B83 *  E83) * 8.34),""))</f>
        <v>4392.5524829999995</v>
      </c>
      <c r="G37" s="7"/>
      <c r="H37" s="11" t="str">
        <f>IF(LEFT(G37,1)="&lt;","&lt;",IF(AND(ISNUMBER('012-INFLUENT'!B83),ISNUMBER(G83)),SUM(('012-INFLUENT'!B83 *  G83) * 8.34),""))</f>
        <v/>
      </c>
      <c r="I37" s="7"/>
      <c r="J37" s="11" t="str">
        <f>IF(LEFT(I37,1)="&lt;","&lt;",IF(AND(ISNUMBER('012-INFLUENT'!B83),ISNUMBER(I83)),SUM(('012-INFLUENT'!B83 *  I83) * 8.34),""))</f>
        <v/>
      </c>
      <c r="K37" s="7"/>
      <c r="L37" s="11" t="str">
        <f>IF(LEFT(K37,1)="&lt;","&lt;",IF(AND(ISNUMBER('012-INFLUENT'!B83),ISNUMBER(K83)),SUM(('012-INFLUENT'!B83 *  K83) * 8.34),""))</f>
        <v/>
      </c>
      <c r="M37" s="7">
        <v>81</v>
      </c>
      <c r="N37" s="27">
        <v>8.4</v>
      </c>
    </row>
    <row r="38" spans="1:14" x14ac:dyDescent="0.2">
      <c r="A38" s="19">
        <v>20</v>
      </c>
      <c r="B38" s="7">
        <v>3.4779900000000001</v>
      </c>
      <c r="C38" s="7">
        <v>1924</v>
      </c>
      <c r="D38" s="11">
        <f>IF(LEFT(C38,1)="&lt;","&lt;",IF(AND(ISNUMBER('012-INFLUENT'!B84),ISNUMBER(C84)),SUM(('012-INFLUENT'!B84 *  C84) * 8.34),""))</f>
        <v>55808.3840184</v>
      </c>
      <c r="E38" s="7">
        <v>205</v>
      </c>
      <c r="F38" s="11">
        <f>IF(LEFT(E38,1)="&lt;","&lt;",IF(AND(ISNUMBER('012-INFLUENT'!B84),ISNUMBER(E84)),SUM(('012-INFLUENT'!B84 *  E84) * 8.34),""))</f>
        <v>5946.3195030000006</v>
      </c>
      <c r="G38" s="7"/>
      <c r="H38" s="11" t="str">
        <f>IF(LEFT(G38,1)="&lt;","&lt;",IF(AND(ISNUMBER('012-INFLUENT'!B84),ISNUMBER(G84)),SUM(('012-INFLUENT'!B84 *  G84) * 8.34),""))</f>
        <v/>
      </c>
      <c r="I38" s="7"/>
      <c r="J38" s="11" t="str">
        <f>IF(LEFT(I38,1)="&lt;","&lt;",IF(AND(ISNUMBER('012-INFLUENT'!B84),ISNUMBER(I84)),SUM(('012-INFLUENT'!B84 *  I84) * 8.34),""))</f>
        <v/>
      </c>
      <c r="K38" s="7"/>
      <c r="L38" s="11" t="str">
        <f>IF(LEFT(K38,1)="&lt;","&lt;",IF(AND(ISNUMBER('012-INFLUENT'!B84),ISNUMBER(K84)),SUM(('012-INFLUENT'!B84 *  K84) * 8.34),""))</f>
        <v/>
      </c>
      <c r="M38" s="7">
        <v>76</v>
      </c>
      <c r="N38" s="27">
        <v>12.1</v>
      </c>
    </row>
    <row r="39" spans="1:14" x14ac:dyDescent="0.2">
      <c r="A39" s="20">
        <v>21</v>
      </c>
      <c r="B39" s="12">
        <v>3.6546599999999998</v>
      </c>
      <c r="C39" s="12">
        <v>2029</v>
      </c>
      <c r="D39" s="14">
        <f>IF(LEFT(C39,1)="&lt;","&lt;",IF(AND(ISNUMBER('012-INFLUENT'!B85),ISNUMBER(C85)),SUM(('012-INFLUENT'!B85 *  C85) * 8.34),""))</f>
        <v>61843.644867599993</v>
      </c>
      <c r="E39" s="12">
        <v>310</v>
      </c>
      <c r="F39" s="14">
        <f>IF(LEFT(E39,1)="&lt;","&lt;",IF(AND(ISNUMBER('012-INFLUENT'!B85),ISNUMBER(E85)),SUM(('012-INFLUENT'!B85 *  E85) * 8.34),""))</f>
        <v>9448.7579640000004</v>
      </c>
      <c r="G39" s="12"/>
      <c r="H39" s="14" t="str">
        <f>IF(LEFT(G39,1)="&lt;","&lt;",IF(AND(ISNUMBER('012-INFLUENT'!B85),ISNUMBER(G85)),SUM(('012-INFLUENT'!B85 *  G85) * 8.34),""))</f>
        <v/>
      </c>
      <c r="I39" s="12"/>
      <c r="J39" s="14" t="str">
        <f>IF(LEFT(I39,1)="&lt;","&lt;",IF(AND(ISNUMBER('012-INFLUENT'!B85),ISNUMBER(I85)),SUM(('012-INFLUENT'!B85 *  I85) * 8.34),""))</f>
        <v/>
      </c>
      <c r="K39" s="12"/>
      <c r="L39" s="14" t="str">
        <f>IF(LEFT(K39,1)="&lt;","&lt;",IF(AND(ISNUMBER('012-INFLUENT'!B85),ISNUMBER(K85)),SUM(('012-INFLUENT'!B85 *  K85) * 8.34),""))</f>
        <v/>
      </c>
      <c r="M39" s="12">
        <v>82</v>
      </c>
      <c r="N39" s="25">
        <v>4.7</v>
      </c>
    </row>
    <row r="40" spans="1:14" x14ac:dyDescent="0.2">
      <c r="A40" s="19">
        <v>22</v>
      </c>
      <c r="B40" s="7">
        <v>3.96055</v>
      </c>
      <c r="C40" s="7">
        <v>2201</v>
      </c>
      <c r="D40" s="11">
        <f>IF(LEFT(C40,1)="&lt;","&lt;",IF(AND(ISNUMBER('012-INFLUENT'!B86),ISNUMBER(C86)),SUM(('012-INFLUENT'!B86 *  C86) * 8.34),""))</f>
        <v>72701.202387000012</v>
      </c>
      <c r="E40" s="7">
        <v>155</v>
      </c>
      <c r="F40" s="11">
        <f>IF(LEFT(E40,1)="&lt;","&lt;",IF(AND(ISNUMBER('012-INFLUENT'!B86),ISNUMBER(E86)),SUM(('012-INFLUENT'!B86 *  E86) * 8.34),""))</f>
        <v>5119.8029850000003</v>
      </c>
      <c r="G40" s="7">
        <v>13.7</v>
      </c>
      <c r="H40" s="11">
        <f>IF(LEFT(G40,1)="&lt;","&lt;",IF(AND(ISNUMBER('012-INFLUENT'!B86),ISNUMBER(G86)),SUM(('012-INFLUENT'!B86 *  G86) * 8.34),""))</f>
        <v>452.52452189999997</v>
      </c>
      <c r="I40" s="7">
        <v>12</v>
      </c>
      <c r="J40" s="11">
        <f>IF(LEFT(I40,1)="&lt;","&lt;",IF(AND(ISNUMBER('012-INFLUENT'!B86),ISNUMBER(I86)),SUM(('012-INFLUENT'!B86 *  I86) * 8.34),""))</f>
        <v>396.37184400000001</v>
      </c>
      <c r="K40" s="7">
        <v>0.75</v>
      </c>
      <c r="L40" s="11">
        <f>IF(LEFT(K40,1)="&lt;","&lt;",IF(AND(ISNUMBER('012-INFLUENT'!B86),ISNUMBER(K86)),SUM(('012-INFLUENT'!B86 *  K86) * 8.34),""))</f>
        <v>24.773240250000001</v>
      </c>
      <c r="M40" s="7">
        <v>97</v>
      </c>
      <c r="N40" s="27">
        <v>11.3</v>
      </c>
    </row>
    <row r="41" spans="1:14" x14ac:dyDescent="0.2">
      <c r="A41" s="19">
        <v>23</v>
      </c>
      <c r="B41" s="7">
        <v>3.4852599999999998</v>
      </c>
      <c r="C41" s="7">
        <v>2064</v>
      </c>
      <c r="D41" s="11">
        <f>IF(LEFT(C41,1)="&lt;","&lt;",IF(AND(ISNUMBER('012-INFLUENT'!B87),ISNUMBER(C87)),SUM(('012-INFLUENT'!B87 *  C87) * 8.34),""))</f>
        <v>59994.429177599995</v>
      </c>
      <c r="E41" s="7">
        <v>95</v>
      </c>
      <c r="F41" s="11">
        <f>IF(LEFT(E41,1)="&lt;","&lt;",IF(AND(ISNUMBER('012-INFLUENT'!B87),ISNUMBER(E87)),SUM(('012-INFLUENT'!B87 *  E87) * 8.34),""))</f>
        <v>2761.371498</v>
      </c>
      <c r="G41" s="7"/>
      <c r="H41" s="11" t="str">
        <f>IF(LEFT(G41,1)="&lt;","&lt;",IF(AND(ISNUMBER('012-INFLUENT'!B87),ISNUMBER(G87)),SUM(('012-INFLUENT'!B87 *  G87) * 8.34),""))</f>
        <v/>
      </c>
      <c r="I41" s="7"/>
      <c r="J41" s="11" t="str">
        <f>IF(LEFT(I41,1)="&lt;","&lt;",IF(AND(ISNUMBER('012-INFLUENT'!B87),ISNUMBER(I87)),SUM(('012-INFLUENT'!B87 *  I87) * 8.34),""))</f>
        <v/>
      </c>
      <c r="K41" s="7"/>
      <c r="L41" s="11" t="str">
        <f>IF(LEFT(K41,1)="&lt;","&lt;",IF(AND(ISNUMBER('012-INFLUENT'!B87),ISNUMBER(K87)),SUM(('012-INFLUENT'!B87 *  K87) * 8.34),""))</f>
        <v/>
      </c>
      <c r="M41" s="7">
        <v>93</v>
      </c>
      <c r="N41" s="27">
        <v>8.6</v>
      </c>
    </row>
    <row r="42" spans="1:14" x14ac:dyDescent="0.2">
      <c r="A42" s="19">
        <v>24</v>
      </c>
      <c r="B42" s="7">
        <v>2.3389600000000002</v>
      </c>
      <c r="C42" s="7">
        <v>1335</v>
      </c>
      <c r="D42" s="11">
        <f>IF(LEFT(C42,1)="&lt;","&lt;",IF(AND(ISNUMBER('012-INFLUENT'!B88),ISNUMBER(C88)),SUM(('012-INFLUENT'!B88 *  C88) * 8.34),""))</f>
        <v>26041.746744</v>
      </c>
      <c r="E42" s="7">
        <v>130</v>
      </c>
      <c r="F42" s="11">
        <f>IF(LEFT(E42,1)="&lt;","&lt;",IF(AND(ISNUMBER('012-INFLUENT'!B88),ISNUMBER(E88)),SUM(('012-INFLUENT'!B88 *  E88) * 8.34),""))</f>
        <v>2535.9004319999999</v>
      </c>
      <c r="G42" s="7"/>
      <c r="H42" s="11" t="str">
        <f>IF(LEFT(G42,1)="&lt;","&lt;",IF(AND(ISNUMBER('012-INFLUENT'!B88),ISNUMBER(G88)),SUM(('012-INFLUENT'!B88 *  G88) * 8.34),""))</f>
        <v/>
      </c>
      <c r="I42" s="7"/>
      <c r="J42" s="11" t="str">
        <f>IF(LEFT(I42,1)="&lt;","&lt;",IF(AND(ISNUMBER('012-INFLUENT'!B88),ISNUMBER(I88)),SUM(('012-INFLUENT'!B88 *  I88) * 8.34),""))</f>
        <v/>
      </c>
      <c r="K42" s="7"/>
      <c r="L42" s="11" t="str">
        <f>IF(LEFT(K42,1)="&lt;","&lt;",IF(AND(ISNUMBER('012-INFLUENT'!B88),ISNUMBER(K88)),SUM(('012-INFLUENT'!B88 *  K88) * 8.34),""))</f>
        <v/>
      </c>
      <c r="M42" s="7">
        <v>84</v>
      </c>
      <c r="N42" s="27">
        <v>4.5999999999999996</v>
      </c>
    </row>
    <row r="43" spans="1:14" x14ac:dyDescent="0.2">
      <c r="A43" s="19">
        <v>25</v>
      </c>
      <c r="B43" s="7">
        <v>2.4584999999999999</v>
      </c>
      <c r="C43" s="7">
        <v>2018</v>
      </c>
      <c r="D43" s="11">
        <f>IF(LEFT(C43,1)="&lt;","&lt;",IF(AND(ISNUMBER('012-INFLUENT'!B89),ISNUMBER(C89)),SUM(('012-INFLUENT'!B89 *  C89) * 8.34),""))</f>
        <v>41376.850019999998</v>
      </c>
      <c r="E43" s="7">
        <v>330</v>
      </c>
      <c r="F43" s="11">
        <f>IF(LEFT(E43,1)="&lt;","&lt;",IF(AND(ISNUMBER('012-INFLUENT'!B89),ISNUMBER(E89)),SUM(('012-INFLUENT'!B89 *  E89) * 8.34),""))</f>
        <v>6766.283699999999</v>
      </c>
      <c r="G43" s="7"/>
      <c r="H43" s="11" t="str">
        <f>IF(LEFT(G43,1)="&lt;","&lt;",IF(AND(ISNUMBER('012-INFLUENT'!B89),ISNUMBER(G89)),SUM(('012-INFLUENT'!B89 *  G89) * 8.34),""))</f>
        <v/>
      </c>
      <c r="I43" s="7"/>
      <c r="J43" s="11" t="str">
        <f>IF(LEFT(I43,1)="&lt;","&lt;",IF(AND(ISNUMBER('012-INFLUENT'!B89),ISNUMBER(I89)),SUM(('012-INFLUENT'!B89 *  I89) * 8.34),""))</f>
        <v/>
      </c>
      <c r="K43" s="7"/>
      <c r="L43" s="11" t="str">
        <f>IF(LEFT(K43,1)="&lt;","&lt;",IF(AND(ISNUMBER('012-INFLUENT'!B89),ISNUMBER(K89)),SUM(('012-INFLUENT'!B89 *  K89) * 8.34),""))</f>
        <v/>
      </c>
      <c r="M43" s="7">
        <v>74</v>
      </c>
      <c r="N43" s="27">
        <v>9.5</v>
      </c>
    </row>
    <row r="44" spans="1:14" x14ac:dyDescent="0.2">
      <c r="A44" s="19">
        <v>26</v>
      </c>
      <c r="B44" s="7">
        <v>2.40178</v>
      </c>
      <c r="C44" s="7">
        <v>2138</v>
      </c>
      <c r="D44" s="11">
        <f>IF(LEFT(C44,1)="&lt;","&lt;",IF(AND(ISNUMBER('012-INFLUENT'!B90),ISNUMBER(C90)),SUM(('012-INFLUENT'!B90 *  C90) * 8.34),""))</f>
        <v>42825.947037600003</v>
      </c>
      <c r="E44" s="7">
        <v>105</v>
      </c>
      <c r="F44" s="11">
        <f>IF(LEFT(E44,1)="&lt;","&lt;",IF(AND(ISNUMBER('012-INFLUENT'!B90),ISNUMBER(E90)),SUM(('012-INFLUENT'!B90 *  E90) * 8.34),""))</f>
        <v>2103.238746</v>
      </c>
      <c r="G44" s="7"/>
      <c r="H44" s="11" t="str">
        <f>IF(LEFT(G44,1)="&lt;","&lt;",IF(AND(ISNUMBER('012-INFLUENT'!B90),ISNUMBER(G90)),SUM(('012-INFLUENT'!B90 *  G90) * 8.34),""))</f>
        <v/>
      </c>
      <c r="I44" s="7"/>
      <c r="J44" s="11" t="str">
        <f>IF(LEFT(I44,1)="&lt;","&lt;",IF(AND(ISNUMBER('012-INFLUENT'!B90),ISNUMBER(I90)),SUM(('012-INFLUENT'!B90 *  I90) * 8.34),""))</f>
        <v/>
      </c>
      <c r="K44" s="7"/>
      <c r="L44" s="11" t="str">
        <f>IF(LEFT(K44,1)="&lt;","&lt;",IF(AND(ISNUMBER('012-INFLUENT'!B90),ISNUMBER(K90)),SUM(('012-INFLUENT'!B90 *  K90) * 8.34),""))</f>
        <v/>
      </c>
      <c r="M44" s="7">
        <v>75</v>
      </c>
      <c r="N44" s="27">
        <v>12.1</v>
      </c>
    </row>
    <row r="45" spans="1:14" x14ac:dyDescent="0.2">
      <c r="A45" s="19">
        <v>27</v>
      </c>
      <c r="B45" s="7">
        <v>2.26892</v>
      </c>
      <c r="C45" s="7">
        <v>1074</v>
      </c>
      <c r="D45" s="11">
        <f>IF(LEFT(C45,1)="&lt;","&lt;",IF(AND(ISNUMBER('012-INFLUENT'!B91),ISNUMBER(C91)),SUM(('012-INFLUENT'!B91 *  C91) * 8.34),""))</f>
        <v>20323.079467200001</v>
      </c>
      <c r="E45" s="7">
        <v>140</v>
      </c>
      <c r="F45" s="11">
        <f>IF(LEFT(E45,1)="&lt;","&lt;",IF(AND(ISNUMBER('012-INFLUENT'!B91),ISNUMBER(E91)),SUM(('012-INFLUENT'!B91 *  E91) * 8.34),""))</f>
        <v>2649.1909919999998</v>
      </c>
      <c r="G45" s="7"/>
      <c r="H45" s="11" t="str">
        <f>IF(LEFT(G45,1)="&lt;","&lt;",IF(AND(ISNUMBER('012-INFLUENT'!B91),ISNUMBER(G91)),SUM(('012-INFLUENT'!B91 *  G91) * 8.34),""))</f>
        <v/>
      </c>
      <c r="I45" s="7"/>
      <c r="J45" s="11" t="str">
        <f>IF(LEFT(I45,1)="&lt;","&lt;",IF(AND(ISNUMBER('012-INFLUENT'!B91),ISNUMBER(I91)),SUM(('012-INFLUENT'!B91 *  I91) * 8.34),""))</f>
        <v/>
      </c>
      <c r="K45" s="7"/>
      <c r="L45" s="11" t="str">
        <f>IF(LEFT(K45,1)="&lt;","&lt;",IF(AND(ISNUMBER('012-INFLUENT'!B91),ISNUMBER(K91)),SUM(('012-INFLUENT'!B91 *  K91) * 8.34),""))</f>
        <v/>
      </c>
      <c r="M45" s="7">
        <v>77</v>
      </c>
      <c r="N45" s="27">
        <v>12</v>
      </c>
    </row>
    <row r="46" spans="1:14" x14ac:dyDescent="0.2">
      <c r="A46" s="20">
        <v>28</v>
      </c>
      <c r="B46" s="12">
        <v>3.3029099999999998</v>
      </c>
      <c r="C46" s="12">
        <v>1179</v>
      </c>
      <c r="D46" s="14">
        <f>IF(LEFT(C46,1)="&lt;","&lt;",IF(AND(ISNUMBER('012-INFLUENT'!B92),ISNUMBER(C92)),SUM(('012-INFLUENT'!B92 *  C92) * 8.34),""))</f>
        <v>32477.0516226</v>
      </c>
      <c r="E46" s="12">
        <v>75</v>
      </c>
      <c r="F46" s="14">
        <f>IF(LEFT(E46,1)="&lt;","&lt;",IF(AND(ISNUMBER('012-INFLUENT'!B92),ISNUMBER(E92)),SUM(('012-INFLUENT'!B92 *  E92) * 8.34),""))</f>
        <v>2065.9702049999996</v>
      </c>
      <c r="G46" s="12"/>
      <c r="H46" s="14" t="str">
        <f>IF(LEFT(G46,1)="&lt;","&lt;",IF(AND(ISNUMBER('012-INFLUENT'!B92),ISNUMBER(G92)),SUM(('012-INFLUENT'!B92 *  G92) * 8.34),""))</f>
        <v/>
      </c>
      <c r="I46" s="12"/>
      <c r="J46" s="14" t="str">
        <f>IF(LEFT(I46,1)="&lt;","&lt;",IF(AND(ISNUMBER('012-INFLUENT'!B92),ISNUMBER(I92)),SUM(('012-INFLUENT'!B92 *  I92) * 8.34),""))</f>
        <v/>
      </c>
      <c r="K46" s="12"/>
      <c r="L46" s="14" t="str">
        <f>IF(LEFT(K46,1)="&lt;","&lt;",IF(AND(ISNUMBER('012-INFLUENT'!B92),ISNUMBER(K92)),SUM(('012-INFLUENT'!B92 *  K92) * 8.34),""))</f>
        <v/>
      </c>
      <c r="M46" s="12">
        <v>77</v>
      </c>
      <c r="N46" s="25">
        <v>4</v>
      </c>
    </row>
    <row r="47" spans="1:14" x14ac:dyDescent="0.2">
      <c r="A47" s="19">
        <v>29</v>
      </c>
      <c r="B47" s="7">
        <v>3.4607899999999998</v>
      </c>
      <c r="C47" s="7">
        <v>1344</v>
      </c>
      <c r="D47" s="11">
        <f>IF(LEFT(C47,1)="&lt;","&lt;",IF(AND(ISNUMBER('012-INFLUENT'!B93),ISNUMBER(C93)),SUM(('012-INFLUENT'!B93 *  C93) * 8.34),""))</f>
        <v>38791.856678399992</v>
      </c>
      <c r="E47" s="7">
        <v>145</v>
      </c>
      <c r="F47" s="11">
        <f>IF(LEFT(E47,1)="&lt;","&lt;",IF(AND(ISNUMBER('012-INFLUENT'!B93),ISNUMBER(E93)),SUM(('012-INFLUENT'!B93 *  E93) * 8.34),""))</f>
        <v>4185.133347</v>
      </c>
      <c r="G47" s="7">
        <v>16.7</v>
      </c>
      <c r="H47" s="11">
        <f>IF(LEFT(G47,1)="&lt;","&lt;",IF(AND(ISNUMBER('012-INFLUENT'!B93),ISNUMBER(G93)),SUM(('012-INFLUENT'!B93 *  G93) * 8.34),""))</f>
        <v>482.01190961999998</v>
      </c>
      <c r="I47" s="7">
        <v>15</v>
      </c>
      <c r="J47" s="11">
        <f>IF(LEFT(I47,1)="&lt;","&lt;",IF(AND(ISNUMBER('012-INFLUENT'!B93),ISNUMBER(I93)),SUM(('012-INFLUENT'!B93 *  I93) * 8.34),""))</f>
        <v>432.94482899999997</v>
      </c>
      <c r="K47" s="7">
        <v>1.6</v>
      </c>
      <c r="L47" s="11">
        <f>IF(LEFT(K47,1)="&lt;","&lt;",IF(AND(ISNUMBER('012-INFLUENT'!B93),ISNUMBER(K93)),SUM(('012-INFLUENT'!B93 *  K93) * 8.34),""))</f>
        <v>46.180781760000002</v>
      </c>
      <c r="M47" s="7">
        <v>73</v>
      </c>
      <c r="N47" s="27">
        <v>6.83</v>
      </c>
    </row>
    <row r="48" spans="1:14" x14ac:dyDescent="0.2">
      <c r="A48" s="19">
        <v>30</v>
      </c>
      <c r="B48" s="7">
        <v>4.0179600000000004</v>
      </c>
      <c r="C48" s="7">
        <v>2603</v>
      </c>
      <c r="D48" s="11">
        <f>IF(LEFT(C48,1)="&lt;","&lt;",IF(AND(ISNUMBER('012-INFLUENT'!B94),ISNUMBER(C94)),SUM(('012-INFLUENT'!B94 *  C94) * 8.34),""))</f>
        <v>87225.97399920001</v>
      </c>
      <c r="E48" s="7">
        <v>155</v>
      </c>
      <c r="F48" s="11">
        <f>IF(LEFT(E48,1)="&lt;","&lt;",IF(AND(ISNUMBER('012-INFLUENT'!B94),ISNUMBER(E94)),SUM(('012-INFLUENT'!B94 *  E94) * 8.34),""))</f>
        <v>5194.0168920000006</v>
      </c>
      <c r="G48" s="7"/>
      <c r="H48" s="11" t="str">
        <f>IF(LEFT(G48,1)="&lt;","&lt;",IF(AND(ISNUMBER('012-INFLUENT'!B94),ISNUMBER(G94)),SUM(('012-INFLUENT'!B94 *  G94) * 8.34),""))</f>
        <v/>
      </c>
      <c r="I48" s="7"/>
      <c r="J48" s="11" t="str">
        <f>IF(LEFT(I48,1)="&lt;","&lt;",IF(AND(ISNUMBER('012-INFLUENT'!B94),ISNUMBER(I94)),SUM(('012-INFLUENT'!B94 *  I94) * 8.34),""))</f>
        <v/>
      </c>
      <c r="K48" s="7"/>
      <c r="L48" s="11" t="str">
        <f>IF(LEFT(K48,1)="&lt;","&lt;",IF(AND(ISNUMBER('012-INFLUENT'!B94),ISNUMBER(K94)),SUM(('012-INFLUENT'!B94 *  K94) * 8.34),""))</f>
        <v/>
      </c>
      <c r="M48" s="7">
        <v>86</v>
      </c>
      <c r="N48" s="27">
        <v>10.1</v>
      </c>
    </row>
    <row r="49" spans="1:14" x14ac:dyDescent="0.2">
      <c r="A49" s="19">
        <v>31</v>
      </c>
      <c r="B49" s="7">
        <v>3.74302</v>
      </c>
      <c r="C49" s="7">
        <v>1895</v>
      </c>
      <c r="D49" s="11">
        <f>IF(LEFT(C49,1)="&lt;","&lt;",IF(AND(ISNUMBER('012-INFLUENT'!B95),ISNUMBER(C95)),SUM(('012-INFLUENT'!B95 *  C95) * 8.34),""))</f>
        <v>59155.810985999997</v>
      </c>
      <c r="E49" s="7">
        <v>100</v>
      </c>
      <c r="F49" s="11">
        <f>IF(LEFT(E49,1)="&lt;","&lt;",IF(AND(ISNUMBER('012-INFLUENT'!B95),ISNUMBER(E95)),SUM(('012-INFLUENT'!B95 *  E95) * 8.34),""))</f>
        <v>3121.67868</v>
      </c>
      <c r="G49" s="7"/>
      <c r="H49" s="11" t="str">
        <f>IF(LEFT(G49,1)="&lt;","&lt;",IF(AND(ISNUMBER('012-INFLUENT'!B95),ISNUMBER(G95)),SUM(('012-INFLUENT'!B95 *  G95) * 8.34),""))</f>
        <v/>
      </c>
      <c r="I49" s="7"/>
      <c r="J49" s="11" t="str">
        <f>IF(LEFT(I49,1)="&lt;","&lt;",IF(AND(ISNUMBER('012-INFLUENT'!B95),ISNUMBER(I95)),SUM(('012-INFLUENT'!B95 *  I95) * 8.34),""))</f>
        <v/>
      </c>
      <c r="K49" s="7"/>
      <c r="L49" s="11" t="str">
        <f>IF(LEFT(K49,1)="&lt;","&lt;",IF(AND(ISNUMBER('012-INFLUENT'!B95),ISNUMBER(K95)),SUM(('012-INFLUENT'!B95 *  K95) * 8.34),""))</f>
        <v/>
      </c>
      <c r="M49" s="7">
        <v>73</v>
      </c>
      <c r="N49" s="27">
        <v>3.4</v>
      </c>
    </row>
    <row r="50" spans="1:14" hidden="1" x14ac:dyDescent="0.2">
      <c r="A50" s="21"/>
      <c r="B50" s="8"/>
      <c r="C50" s="8"/>
      <c r="D50" s="11" t="str">
        <f>IF(LEFT(C50,1)="&lt;","&lt;",IF(AND(ISNUMBER('012-INFLUENT'!B96),ISNUMBER(C96)),SUM(('012-INFLUENT'!B96 *  C96) * 8.34),""))</f>
        <v/>
      </c>
      <c r="E50" s="8"/>
      <c r="F50" s="11" t="str">
        <f>IF(LEFT(E50,1)="&lt;","&lt;",IF(AND(ISNUMBER('012-INFLUENT'!B96),ISNUMBER(E96)),SUM(('012-INFLUENT'!B96 *  E96) * 8.34),""))</f>
        <v/>
      </c>
      <c r="G50" s="8"/>
      <c r="H50" s="11" t="str">
        <f>IF(LEFT(G50,1)="&lt;","&lt;",IF(AND(ISNUMBER('012-INFLUENT'!B96),ISNUMBER(G96)),SUM(('012-INFLUENT'!B96 *  G96) * 8.34),""))</f>
        <v/>
      </c>
      <c r="I50" s="8"/>
      <c r="J50" s="11" t="str">
        <f>IF(LEFT(I50,1)="&lt;","&lt;",IF(AND(ISNUMBER('012-INFLUENT'!B96),ISNUMBER(I96)),SUM(('012-INFLUENT'!B96 *  I96) * 8.34),""))</f>
        <v/>
      </c>
      <c r="K50" s="8"/>
      <c r="L50" s="11" t="str">
        <f>IF(LEFT(K50,1)="&lt;","&lt;",IF(AND(ISNUMBER('012-INFLUENT'!B96),ISNUMBER(K96)),SUM(('012-INFLUENT'!B96 *  K96) * 8.34),""))</f>
        <v/>
      </c>
      <c r="M50" s="8"/>
      <c r="N50" s="32"/>
    </row>
    <row r="51" spans="1:14" x14ac:dyDescent="0.2">
      <c r="A51" s="22" t="s">
        <v>64</v>
      </c>
      <c r="B51" s="13">
        <f t="shared" ref="B51:N51" si="0">IF(COUNTA(B19:B50)&gt;0,SUM(B65:B96),"")</f>
        <v>106.87162000000001</v>
      </c>
      <c r="C51" s="13">
        <f t="shared" si="0"/>
        <v>57668.44</v>
      </c>
      <c r="D51" s="13">
        <f t="shared" si="0"/>
        <v>1668956.1238943515</v>
      </c>
      <c r="E51" s="13">
        <f t="shared" si="0"/>
        <v>9800</v>
      </c>
      <c r="F51" s="13">
        <f t="shared" si="0"/>
        <v>296069.52211799996</v>
      </c>
      <c r="G51" s="13">
        <f t="shared" si="0"/>
        <v>361.99999999999994</v>
      </c>
      <c r="H51" s="13">
        <f t="shared" si="0"/>
        <v>10314.320477159998</v>
      </c>
      <c r="I51" s="13">
        <f t="shared" si="0"/>
        <v>354</v>
      </c>
      <c r="J51" s="13">
        <f t="shared" si="0"/>
        <v>10086.564050999999</v>
      </c>
      <c r="K51" s="13">
        <f t="shared" si="0"/>
        <v>15.649999999999999</v>
      </c>
      <c r="L51" s="13">
        <f t="shared" si="0"/>
        <v>436.33106498999996</v>
      </c>
      <c r="M51" s="13">
        <f t="shared" si="0"/>
        <v>2419.6</v>
      </c>
      <c r="N51" s="28">
        <f t="shared" si="0"/>
        <v>249.49</v>
      </c>
    </row>
    <row r="52" spans="1:14" x14ac:dyDescent="0.2">
      <c r="A52" s="19" t="s">
        <v>65</v>
      </c>
      <c r="B52" s="10">
        <f t="shared" ref="B52:N52" si="1">IF(ISNUMBER(AVERAGE(B65:B96)),AVERAGE(B65:B96),"")</f>
        <v>3.4474716129032261</v>
      </c>
      <c r="C52" s="10">
        <f t="shared" si="1"/>
        <v>1860.2722580645161</v>
      </c>
      <c r="D52" s="10">
        <f t="shared" si="1"/>
        <v>53837.29431917263</v>
      </c>
      <c r="E52" s="10">
        <f t="shared" si="1"/>
        <v>316.12903225806451</v>
      </c>
      <c r="F52" s="10">
        <f t="shared" si="1"/>
        <v>9550.629745741935</v>
      </c>
      <c r="G52" s="10">
        <f t="shared" si="1"/>
        <v>72.399999999999991</v>
      </c>
      <c r="H52" s="10">
        <f t="shared" si="1"/>
        <v>2062.8640954319994</v>
      </c>
      <c r="I52" s="10">
        <f t="shared" si="1"/>
        <v>70.8</v>
      </c>
      <c r="J52" s="10">
        <f t="shared" si="1"/>
        <v>2017.3128101999998</v>
      </c>
      <c r="K52" s="10">
        <f t="shared" si="1"/>
        <v>3.13</v>
      </c>
      <c r="L52" s="10">
        <f t="shared" si="1"/>
        <v>87.266212997999986</v>
      </c>
      <c r="M52" s="10">
        <f t="shared" si="1"/>
        <v>78.051612903225802</v>
      </c>
      <c r="N52" s="29">
        <f t="shared" si="1"/>
        <v>8.048064516129033</v>
      </c>
    </row>
    <row r="53" spans="1:14" x14ac:dyDescent="0.2">
      <c r="A53" s="19" t="s">
        <v>66</v>
      </c>
      <c r="B53" s="10">
        <f t="shared" ref="B53:N53" si="2">IF(MAX(B65:B96)=0,"",MAX(B65:B96))</f>
        <v>4.4329700000000001</v>
      </c>
      <c r="C53" s="10">
        <f t="shared" si="2"/>
        <v>3090</v>
      </c>
      <c r="D53" s="10">
        <f t="shared" si="2"/>
        <v>90395.533620000002</v>
      </c>
      <c r="E53" s="10">
        <f t="shared" si="2"/>
        <v>1635</v>
      </c>
      <c r="F53" s="10">
        <f t="shared" si="2"/>
        <v>51964.233155999995</v>
      </c>
      <c r="G53" s="10">
        <f t="shared" si="2"/>
        <v>201.2</v>
      </c>
      <c r="H53" s="10">
        <f t="shared" si="2"/>
        <v>5960.2172956799986</v>
      </c>
      <c r="I53" s="10">
        <f t="shared" si="2"/>
        <v>200</v>
      </c>
      <c r="J53" s="10">
        <f t="shared" si="2"/>
        <v>5924.6692799999992</v>
      </c>
      <c r="K53" s="10">
        <f t="shared" si="2"/>
        <v>5.6</v>
      </c>
      <c r="L53" s="10">
        <f t="shared" si="2"/>
        <v>156.11372447999997</v>
      </c>
      <c r="M53" s="10">
        <f t="shared" si="2"/>
        <v>97</v>
      </c>
      <c r="N53" s="29">
        <f t="shared" si="2"/>
        <v>12.3</v>
      </c>
    </row>
    <row r="54" spans="1:14" x14ac:dyDescent="0.2">
      <c r="A54" s="19" t="s">
        <v>67</v>
      </c>
      <c r="B54" s="10">
        <f t="shared" ref="B54:N54" si="3">IF(MIN(B65:B96)=0,"",MIN(B65:B96))</f>
        <v>2.26892</v>
      </c>
      <c r="C54" s="10">
        <f t="shared" si="3"/>
        <v>184.44</v>
      </c>
      <c r="D54" s="10">
        <f t="shared" si="3"/>
        <v>6001.2028145519998</v>
      </c>
      <c r="E54" s="10">
        <f t="shared" si="3"/>
        <v>70</v>
      </c>
      <c r="F54" s="10">
        <f t="shared" si="3"/>
        <v>2017.425984</v>
      </c>
      <c r="G54" s="10">
        <f t="shared" si="3"/>
        <v>13.7</v>
      </c>
      <c r="H54" s="10">
        <f t="shared" si="3"/>
        <v>452.52452189999997</v>
      </c>
      <c r="I54" s="10">
        <f t="shared" si="3"/>
        <v>12</v>
      </c>
      <c r="J54" s="10">
        <f t="shared" si="3"/>
        <v>396.37184400000001</v>
      </c>
      <c r="K54" s="10">
        <f t="shared" si="3"/>
        <v>0.75</v>
      </c>
      <c r="L54" s="10">
        <f t="shared" si="3"/>
        <v>24.773240250000001</v>
      </c>
      <c r="M54" s="10">
        <f t="shared" si="3"/>
        <v>59.9</v>
      </c>
      <c r="N54" s="29">
        <f t="shared" si="3"/>
        <v>1.9</v>
      </c>
    </row>
    <row r="55" spans="1:14" x14ac:dyDescent="0.2">
      <c r="A55" s="19" t="s">
        <v>68</v>
      </c>
      <c r="B55" s="10">
        <f t="shared" ref="B55:N55" si="4">IF(MAX(B57:B60)=0,"",MAX(B57:B60))</f>
        <v>3.8933928571428567</v>
      </c>
      <c r="C55" s="10">
        <f t="shared" si="4"/>
        <v>2080.1428571428573</v>
      </c>
      <c r="D55" s="10">
        <f t="shared" si="4"/>
        <v>62141.632924628568</v>
      </c>
      <c r="E55" s="10">
        <f t="shared" si="4"/>
        <v>613.57142857142856</v>
      </c>
      <c r="F55" s="10">
        <f t="shared" si="4"/>
        <v>18584.836937142856</v>
      </c>
      <c r="G55" s="10">
        <f t="shared" si="4"/>
        <v>201.2</v>
      </c>
      <c r="H55" s="10">
        <f t="shared" si="4"/>
        <v>5960.2172956799986</v>
      </c>
      <c r="I55" s="10">
        <f t="shared" si="4"/>
        <v>200</v>
      </c>
      <c r="J55" s="10">
        <f t="shared" si="4"/>
        <v>5924.6692799999992</v>
      </c>
      <c r="K55" s="10">
        <f t="shared" si="4"/>
        <v>5.6</v>
      </c>
      <c r="L55" s="10">
        <f t="shared" si="4"/>
        <v>156.11372447999997</v>
      </c>
      <c r="M55" s="10">
        <f t="shared" si="4"/>
        <v>82.428571428571431</v>
      </c>
      <c r="N55" s="29">
        <f t="shared" si="4"/>
        <v>8.8714285714285719</v>
      </c>
    </row>
    <row r="56" spans="1:14" x14ac:dyDescent="0.2">
      <c r="A56" s="21"/>
      <c r="N56" s="30"/>
    </row>
    <row r="57" spans="1:14" hidden="1" x14ac:dyDescent="0.2">
      <c r="A57" s="22" t="s">
        <v>69</v>
      </c>
      <c r="B57" s="13">
        <f t="shared" ref="B57:N57" si="5">IF(SUM(B65:B71)&gt;0,AVERAGE(B65:B71),"")</f>
        <v>3.3323614285714283</v>
      </c>
      <c r="C57" s="13">
        <f t="shared" si="5"/>
        <v>1959.4285714285713</v>
      </c>
      <c r="D57" s="13">
        <f t="shared" si="5"/>
        <v>54258.533772171424</v>
      </c>
      <c r="E57" s="13">
        <f t="shared" si="5"/>
        <v>160.71428571428572</v>
      </c>
      <c r="F57" s="13">
        <f t="shared" si="5"/>
        <v>4267.8134262857138</v>
      </c>
      <c r="G57" s="13">
        <f t="shared" si="5"/>
        <v>49.8</v>
      </c>
      <c r="H57" s="13">
        <f t="shared" si="5"/>
        <v>1172.64421548</v>
      </c>
      <c r="I57" s="13">
        <f t="shared" si="5"/>
        <v>48</v>
      </c>
      <c r="J57" s="13">
        <f t="shared" si="5"/>
        <v>1130.2594847999999</v>
      </c>
      <c r="K57" s="13">
        <f t="shared" si="5"/>
        <v>3.1</v>
      </c>
      <c r="L57" s="13">
        <f t="shared" si="5"/>
        <v>72.995925060000005</v>
      </c>
      <c r="M57" s="13">
        <f t="shared" si="5"/>
        <v>70.8</v>
      </c>
      <c r="N57" s="28">
        <f t="shared" si="5"/>
        <v>8.8514285714285723</v>
      </c>
    </row>
    <row r="58" spans="1:14" hidden="1" x14ac:dyDescent="0.2">
      <c r="A58" s="19" t="s">
        <v>70</v>
      </c>
      <c r="B58" s="10">
        <f t="shared" ref="B58:N58" si="6">IF(SUM(B72:B78)&gt;0,AVERAGE(B72:B78),"")</f>
        <v>3.5503842857142858</v>
      </c>
      <c r="C58" s="10">
        <f t="shared" si="6"/>
        <v>2080.1428571428573</v>
      </c>
      <c r="D58" s="10">
        <f t="shared" si="6"/>
        <v>62141.632924628568</v>
      </c>
      <c r="E58" s="10">
        <f t="shared" si="6"/>
        <v>613.57142857142856</v>
      </c>
      <c r="F58" s="10">
        <f t="shared" si="6"/>
        <v>18584.836937142856</v>
      </c>
      <c r="G58" s="10">
        <f t="shared" si="6"/>
        <v>80.599999999999994</v>
      </c>
      <c r="H58" s="10">
        <f t="shared" si="6"/>
        <v>2246.9225344799997</v>
      </c>
      <c r="I58" s="10">
        <f t="shared" si="6"/>
        <v>79</v>
      </c>
      <c r="J58" s="10">
        <f t="shared" si="6"/>
        <v>2202.3186132000001</v>
      </c>
      <c r="K58" s="10">
        <f t="shared" si="6"/>
        <v>5.6</v>
      </c>
      <c r="L58" s="10">
        <f t="shared" si="6"/>
        <v>156.11372447999997</v>
      </c>
      <c r="M58" s="10">
        <f t="shared" si="6"/>
        <v>78.285714285714292</v>
      </c>
      <c r="N58" s="29">
        <f t="shared" si="6"/>
        <v>7.2714285714285722</v>
      </c>
    </row>
    <row r="59" spans="1:14" hidden="1" x14ac:dyDescent="0.2">
      <c r="A59" s="19" t="s">
        <v>71</v>
      </c>
      <c r="B59" s="10">
        <f t="shared" ref="B59:N59" si="7">IF(SUM(B79:B85)&gt;0,AVERAGE(B79:B85),"")</f>
        <v>3.8933928571428567</v>
      </c>
      <c r="C59" s="10">
        <f t="shared" si="7"/>
        <v>1648.6342857142856</v>
      </c>
      <c r="D59" s="10">
        <f t="shared" si="7"/>
        <v>53320.144128164568</v>
      </c>
      <c r="E59" s="10">
        <f t="shared" si="7"/>
        <v>421.42857142857144</v>
      </c>
      <c r="F59" s="10">
        <f t="shared" si="7"/>
        <v>14228.34029957143</v>
      </c>
      <c r="G59" s="10">
        <f t="shared" si="7"/>
        <v>201.2</v>
      </c>
      <c r="H59" s="10">
        <f t="shared" si="7"/>
        <v>5960.2172956799986</v>
      </c>
      <c r="I59" s="10">
        <f t="shared" si="7"/>
        <v>200</v>
      </c>
      <c r="J59" s="10">
        <f t="shared" si="7"/>
        <v>5924.6692799999992</v>
      </c>
      <c r="K59" s="10">
        <f t="shared" si="7"/>
        <v>4.5999999999999996</v>
      </c>
      <c r="L59" s="10">
        <f t="shared" si="7"/>
        <v>136.26739343999998</v>
      </c>
      <c r="M59" s="10">
        <f t="shared" si="7"/>
        <v>81</v>
      </c>
      <c r="N59" s="29">
        <f t="shared" si="7"/>
        <v>7.7428571428571429</v>
      </c>
    </row>
    <row r="60" spans="1:14" hidden="1" x14ac:dyDescent="0.2">
      <c r="A60" s="20" t="s">
        <v>72</v>
      </c>
      <c r="B60" s="15">
        <f t="shared" ref="B60:N60" si="8">IF(SUM(B86:B92)&gt;0,AVERAGE(B86:B92),"")</f>
        <v>2.8881257142857142</v>
      </c>
      <c r="C60" s="15">
        <f t="shared" si="8"/>
        <v>1715.5714285714287</v>
      </c>
      <c r="D60" s="15">
        <f t="shared" si="8"/>
        <v>42248.615208000003</v>
      </c>
      <c r="E60" s="15">
        <f t="shared" si="8"/>
        <v>147.14285714285714</v>
      </c>
      <c r="F60" s="15">
        <f t="shared" si="8"/>
        <v>3428.8226511428575</v>
      </c>
      <c r="G60" s="15">
        <f t="shared" si="8"/>
        <v>13.7</v>
      </c>
      <c r="H60" s="15">
        <f t="shared" si="8"/>
        <v>452.52452189999997</v>
      </c>
      <c r="I60" s="15">
        <f t="shared" si="8"/>
        <v>12</v>
      </c>
      <c r="J60" s="15">
        <f t="shared" si="8"/>
        <v>396.37184400000001</v>
      </c>
      <c r="K60" s="15">
        <f t="shared" si="8"/>
        <v>0.75</v>
      </c>
      <c r="L60" s="15">
        <f t="shared" si="8"/>
        <v>24.773240250000001</v>
      </c>
      <c r="M60" s="15">
        <f t="shared" si="8"/>
        <v>82.428571428571431</v>
      </c>
      <c r="N60" s="31">
        <f t="shared" si="8"/>
        <v>8.8714285714285719</v>
      </c>
    </row>
    <row r="65" spans="1:14" hidden="1" x14ac:dyDescent="0.2">
      <c r="A65" s="4" t="s">
        <v>73</v>
      </c>
      <c r="B65" s="3">
        <f t="shared" ref="B65:N65" si="9">IF(LEFT(B19,1) = "&lt;",0, IF(ISBLANK(B19),"",B19))</f>
        <v>2.8274900000000001</v>
      </c>
      <c r="C65" s="3">
        <f t="shared" si="9"/>
        <v>2080</v>
      </c>
      <c r="D65" s="3">
        <f t="shared" si="9"/>
        <v>49049.034528000004</v>
      </c>
      <c r="E65" s="3">
        <f t="shared" si="9"/>
        <v>365</v>
      </c>
      <c r="F65" s="3">
        <f t="shared" si="9"/>
        <v>8607.1623089999994</v>
      </c>
      <c r="G65" s="3" t="str">
        <f t="shared" si="9"/>
        <v/>
      </c>
      <c r="H65" s="3" t="str">
        <f t="shared" si="9"/>
        <v/>
      </c>
      <c r="I65" s="3" t="str">
        <f t="shared" si="9"/>
        <v/>
      </c>
      <c r="J65" s="3" t="str">
        <f t="shared" si="9"/>
        <v/>
      </c>
      <c r="K65" s="3" t="str">
        <f t="shared" si="9"/>
        <v/>
      </c>
      <c r="L65" s="3" t="str">
        <f t="shared" si="9"/>
        <v/>
      </c>
      <c r="M65" s="3">
        <f t="shared" si="9"/>
        <v>65</v>
      </c>
      <c r="N65" s="3">
        <f t="shared" si="9"/>
        <v>8.6999999999999993</v>
      </c>
    </row>
    <row r="66" spans="1:14" hidden="1" x14ac:dyDescent="0.2">
      <c r="A66" s="4" t="s">
        <v>74</v>
      </c>
      <c r="B66" s="3">
        <f t="shared" ref="B66:N66" si="10">IF(LEFT(B20,1) = "&lt;",0, IF(ISBLANK(B20),"",B20))</f>
        <v>2.8233899999999998</v>
      </c>
      <c r="C66" s="3">
        <f t="shared" si="10"/>
        <v>2165</v>
      </c>
      <c r="D66" s="3">
        <f t="shared" si="10"/>
        <v>50979.412178999992</v>
      </c>
      <c r="E66" s="3">
        <f t="shared" si="10"/>
        <v>170</v>
      </c>
      <c r="F66" s="3">
        <f t="shared" si="10"/>
        <v>4003.0023419999998</v>
      </c>
      <c r="G66" s="3">
        <f t="shared" si="10"/>
        <v>49.8</v>
      </c>
      <c r="H66" s="3">
        <f t="shared" si="10"/>
        <v>1172.64421548</v>
      </c>
      <c r="I66" s="3">
        <f t="shared" si="10"/>
        <v>48</v>
      </c>
      <c r="J66" s="3">
        <f t="shared" si="10"/>
        <v>1130.2594847999999</v>
      </c>
      <c r="K66" s="3">
        <f t="shared" si="10"/>
        <v>3.1</v>
      </c>
      <c r="L66" s="3">
        <f t="shared" si="10"/>
        <v>72.995925060000005</v>
      </c>
      <c r="M66" s="3">
        <f t="shared" si="10"/>
        <v>65.400000000000006</v>
      </c>
      <c r="N66" s="3">
        <f t="shared" si="10"/>
        <v>12.1</v>
      </c>
    </row>
    <row r="67" spans="1:14" hidden="1" x14ac:dyDescent="0.2">
      <c r="A67" s="4" t="s">
        <v>75</v>
      </c>
      <c r="B67" s="3">
        <f t="shared" ref="B67:N67" si="11">IF(LEFT(B21,1) = "&lt;",0, IF(ISBLANK(B21),"",B21))</f>
        <v>3.4556800000000001</v>
      </c>
      <c r="C67" s="3">
        <f t="shared" si="11"/>
        <v>2001</v>
      </c>
      <c r="D67" s="3">
        <f t="shared" si="11"/>
        <v>57669.562771200006</v>
      </c>
      <c r="E67" s="3">
        <f t="shared" si="11"/>
        <v>70</v>
      </c>
      <c r="F67" s="3">
        <f t="shared" si="11"/>
        <v>2017.425984</v>
      </c>
      <c r="G67" s="3" t="str">
        <f t="shared" si="11"/>
        <v/>
      </c>
      <c r="H67" s="3" t="str">
        <f t="shared" si="11"/>
        <v/>
      </c>
      <c r="I67" s="3" t="str">
        <f t="shared" si="11"/>
        <v/>
      </c>
      <c r="J67" s="3" t="str">
        <f t="shared" si="11"/>
        <v/>
      </c>
      <c r="K67" s="3" t="str">
        <f t="shared" si="11"/>
        <v/>
      </c>
      <c r="L67" s="3" t="str">
        <f t="shared" si="11"/>
        <v/>
      </c>
      <c r="M67" s="3">
        <f t="shared" si="11"/>
        <v>68.3</v>
      </c>
      <c r="N67" s="3">
        <f t="shared" si="11"/>
        <v>6.94</v>
      </c>
    </row>
    <row r="68" spans="1:14" hidden="1" x14ac:dyDescent="0.2">
      <c r="A68" s="4" t="s">
        <v>76</v>
      </c>
      <c r="B68" s="3">
        <f t="shared" ref="B68:N68" si="12">IF(LEFT(B22,1) = "&lt;",0, IF(ISBLANK(B22),"",B22))</f>
        <v>3.7682500000000001</v>
      </c>
      <c r="C68" s="3">
        <f t="shared" si="12"/>
        <v>2130</v>
      </c>
      <c r="D68" s="3">
        <f t="shared" si="12"/>
        <v>66939.946649999998</v>
      </c>
      <c r="E68" s="3">
        <f t="shared" si="12"/>
        <v>80</v>
      </c>
      <c r="F68" s="3">
        <f t="shared" si="12"/>
        <v>2514.1764000000003</v>
      </c>
      <c r="G68" s="3" t="str">
        <f t="shared" si="12"/>
        <v/>
      </c>
      <c r="H68" s="3" t="str">
        <f t="shared" si="12"/>
        <v/>
      </c>
      <c r="I68" s="3" t="str">
        <f t="shared" si="12"/>
        <v/>
      </c>
      <c r="J68" s="3" t="str">
        <f t="shared" si="12"/>
        <v/>
      </c>
      <c r="K68" s="3" t="str">
        <f t="shared" si="12"/>
        <v/>
      </c>
      <c r="L68" s="3" t="str">
        <f t="shared" si="12"/>
        <v/>
      </c>
      <c r="M68" s="3">
        <f t="shared" si="12"/>
        <v>59.9</v>
      </c>
      <c r="N68" s="3">
        <f t="shared" si="12"/>
        <v>10.62</v>
      </c>
    </row>
    <row r="69" spans="1:14" hidden="1" x14ac:dyDescent="0.2">
      <c r="A69" s="4" t="s">
        <v>77</v>
      </c>
      <c r="B69" s="3">
        <f t="shared" ref="B69:N69" si="13">IF(LEFT(B23,1) = "&lt;",0, IF(ISBLANK(B23),"",B23))</f>
        <v>3.4095300000000002</v>
      </c>
      <c r="C69" s="3">
        <f t="shared" si="13"/>
        <v>2050</v>
      </c>
      <c r="D69" s="3">
        <f t="shared" si="13"/>
        <v>58292.734409999997</v>
      </c>
      <c r="E69" s="3">
        <f t="shared" si="13"/>
        <v>155</v>
      </c>
      <c r="F69" s="3">
        <f t="shared" si="13"/>
        <v>4407.4994310000002</v>
      </c>
      <c r="G69" s="3" t="str">
        <f t="shared" si="13"/>
        <v/>
      </c>
      <c r="H69" s="3" t="str">
        <f t="shared" si="13"/>
        <v/>
      </c>
      <c r="I69" s="3" t="str">
        <f t="shared" si="13"/>
        <v/>
      </c>
      <c r="J69" s="3" t="str">
        <f t="shared" si="13"/>
        <v/>
      </c>
      <c r="K69" s="3" t="str">
        <f t="shared" si="13"/>
        <v/>
      </c>
      <c r="L69" s="3" t="str">
        <f t="shared" si="13"/>
        <v/>
      </c>
      <c r="M69" s="3">
        <f t="shared" si="13"/>
        <v>85</v>
      </c>
      <c r="N69" s="3">
        <f t="shared" si="13"/>
        <v>10.7</v>
      </c>
    </row>
    <row r="70" spans="1:14" hidden="1" x14ac:dyDescent="0.2">
      <c r="A70" s="4" t="s">
        <v>78</v>
      </c>
      <c r="B70" s="3">
        <f t="shared" ref="B70:N70" si="14">IF(LEFT(B24,1) = "&lt;",0, IF(ISBLANK(B24),"",B24))</f>
        <v>3.6379700000000001</v>
      </c>
      <c r="C70" s="3">
        <f t="shared" si="14"/>
        <v>1781</v>
      </c>
      <c r="D70" s="3">
        <f t="shared" si="14"/>
        <v>54036.732913799999</v>
      </c>
      <c r="E70" s="3">
        <f t="shared" si="14"/>
        <v>120</v>
      </c>
      <c r="F70" s="3">
        <f t="shared" si="14"/>
        <v>3640.8803760000001</v>
      </c>
      <c r="G70" s="3" t="str">
        <f t="shared" si="14"/>
        <v/>
      </c>
      <c r="H70" s="3" t="str">
        <f t="shared" si="14"/>
        <v/>
      </c>
      <c r="I70" s="3" t="str">
        <f t="shared" si="14"/>
        <v/>
      </c>
      <c r="J70" s="3" t="str">
        <f t="shared" si="14"/>
        <v/>
      </c>
      <c r="K70" s="3" t="str">
        <f t="shared" si="14"/>
        <v/>
      </c>
      <c r="L70" s="3" t="str">
        <f t="shared" si="14"/>
        <v/>
      </c>
      <c r="M70" s="3">
        <f t="shared" si="14"/>
        <v>75</v>
      </c>
      <c r="N70" s="3">
        <f t="shared" si="14"/>
        <v>2</v>
      </c>
    </row>
    <row r="71" spans="1:14" hidden="1" x14ac:dyDescent="0.2">
      <c r="A71" s="4" t="s">
        <v>79</v>
      </c>
      <c r="B71" s="3">
        <f t="shared" ref="B71:N71" si="15">IF(LEFT(B25,1) = "&lt;",0, IF(ISBLANK(B25),"",B25))</f>
        <v>3.40422</v>
      </c>
      <c r="C71" s="3">
        <f t="shared" si="15"/>
        <v>1509</v>
      </c>
      <c r="D71" s="3">
        <f t="shared" si="15"/>
        <v>42842.312953200002</v>
      </c>
      <c r="E71" s="3">
        <f t="shared" si="15"/>
        <v>165</v>
      </c>
      <c r="F71" s="3">
        <f t="shared" si="15"/>
        <v>4684.5471419999994</v>
      </c>
      <c r="G71" s="3" t="str">
        <f t="shared" si="15"/>
        <v/>
      </c>
      <c r="H71" s="3" t="str">
        <f t="shared" si="15"/>
        <v/>
      </c>
      <c r="I71" s="3" t="str">
        <f t="shared" si="15"/>
        <v/>
      </c>
      <c r="J71" s="3" t="str">
        <f t="shared" si="15"/>
        <v/>
      </c>
      <c r="K71" s="3" t="str">
        <f t="shared" si="15"/>
        <v/>
      </c>
      <c r="L71" s="3" t="str">
        <f t="shared" si="15"/>
        <v/>
      </c>
      <c r="M71" s="3">
        <f t="shared" si="15"/>
        <v>77</v>
      </c>
      <c r="N71" s="3">
        <f t="shared" si="15"/>
        <v>10.9</v>
      </c>
    </row>
    <row r="72" spans="1:14" hidden="1" x14ac:dyDescent="0.2">
      <c r="A72" s="4" t="s">
        <v>80</v>
      </c>
      <c r="B72" s="3">
        <f t="shared" ref="B72:N72" si="16">IF(LEFT(B26,1) = "&lt;",0, IF(ISBLANK(B26),"",B26))</f>
        <v>3.3426200000000001</v>
      </c>
      <c r="C72" s="3">
        <f t="shared" si="16"/>
        <v>1473</v>
      </c>
      <c r="D72" s="3">
        <f t="shared" si="16"/>
        <v>41063.485028399999</v>
      </c>
      <c r="E72" s="3">
        <f t="shared" si="16"/>
        <v>715</v>
      </c>
      <c r="F72" s="3">
        <f t="shared" si="16"/>
        <v>19932.377322</v>
      </c>
      <c r="G72" s="3">
        <f t="shared" si="16"/>
        <v>80.599999999999994</v>
      </c>
      <c r="H72" s="3">
        <f t="shared" si="16"/>
        <v>2246.9225344799997</v>
      </c>
      <c r="I72" s="3">
        <f t="shared" si="16"/>
        <v>79</v>
      </c>
      <c r="J72" s="3">
        <f t="shared" si="16"/>
        <v>2202.3186132000001</v>
      </c>
      <c r="K72" s="3">
        <f t="shared" si="16"/>
        <v>5.6</v>
      </c>
      <c r="L72" s="3">
        <f t="shared" si="16"/>
        <v>156.11372447999997</v>
      </c>
      <c r="M72" s="3">
        <f t="shared" si="16"/>
        <v>81</v>
      </c>
      <c r="N72" s="3">
        <f t="shared" si="16"/>
        <v>2.2000000000000002</v>
      </c>
    </row>
    <row r="73" spans="1:14" hidden="1" x14ac:dyDescent="0.2">
      <c r="A73" s="4" t="s">
        <v>81</v>
      </c>
      <c r="B73" s="3">
        <f t="shared" ref="B73:N73" si="17">IF(LEFT(B27,1) = "&lt;",0, IF(ISBLANK(B27),"",B27))</f>
        <v>3.1974900000000002</v>
      </c>
      <c r="C73" s="3">
        <f t="shared" si="17"/>
        <v>1536</v>
      </c>
      <c r="D73" s="3">
        <f t="shared" si="17"/>
        <v>40960.614297600005</v>
      </c>
      <c r="E73" s="3">
        <f t="shared" si="17"/>
        <v>200</v>
      </c>
      <c r="F73" s="3">
        <f t="shared" si="17"/>
        <v>5333.4133200000006</v>
      </c>
      <c r="G73" s="3" t="str">
        <f t="shared" si="17"/>
        <v/>
      </c>
      <c r="H73" s="3" t="str">
        <f t="shared" si="17"/>
        <v/>
      </c>
      <c r="I73" s="3" t="str">
        <f t="shared" si="17"/>
        <v/>
      </c>
      <c r="J73" s="3" t="str">
        <f t="shared" si="17"/>
        <v/>
      </c>
      <c r="K73" s="3" t="str">
        <f t="shared" si="17"/>
        <v/>
      </c>
      <c r="L73" s="3" t="str">
        <f t="shared" si="17"/>
        <v/>
      </c>
      <c r="M73" s="3">
        <f t="shared" si="17"/>
        <v>79</v>
      </c>
      <c r="N73" s="3">
        <f t="shared" si="17"/>
        <v>7.2</v>
      </c>
    </row>
    <row r="74" spans="1:14" hidden="1" x14ac:dyDescent="0.2">
      <c r="A74" s="4" t="s">
        <v>82</v>
      </c>
      <c r="B74" s="3">
        <f t="shared" ref="B74:N74" si="18">IF(LEFT(B28,1) = "&lt;",0, IF(ISBLANK(B28),"",B28))</f>
        <v>3.3944200000000002</v>
      </c>
      <c r="C74" s="3">
        <f t="shared" si="18"/>
        <v>1830</v>
      </c>
      <c r="D74" s="3">
        <f t="shared" si="18"/>
        <v>51806.316924000006</v>
      </c>
      <c r="E74" s="3">
        <f t="shared" si="18"/>
        <v>120</v>
      </c>
      <c r="F74" s="3">
        <f t="shared" si="18"/>
        <v>3397.1355360000002</v>
      </c>
      <c r="G74" s="3" t="str">
        <f t="shared" si="18"/>
        <v/>
      </c>
      <c r="H74" s="3" t="str">
        <f t="shared" si="18"/>
        <v/>
      </c>
      <c r="I74" s="3" t="str">
        <f t="shared" si="18"/>
        <v/>
      </c>
      <c r="J74" s="3" t="str">
        <f t="shared" si="18"/>
        <v/>
      </c>
      <c r="K74" s="3" t="str">
        <f t="shared" si="18"/>
        <v/>
      </c>
      <c r="L74" s="3" t="str">
        <f t="shared" si="18"/>
        <v/>
      </c>
      <c r="M74" s="3">
        <f t="shared" si="18"/>
        <v>82</v>
      </c>
      <c r="N74" s="3">
        <f t="shared" si="18"/>
        <v>1.9</v>
      </c>
    </row>
    <row r="75" spans="1:14" hidden="1" x14ac:dyDescent="0.2">
      <c r="A75" s="4" t="s">
        <v>83</v>
      </c>
      <c r="B75" s="3">
        <f t="shared" ref="B75:N75" si="19">IF(LEFT(B29,1) = "&lt;",0, IF(ISBLANK(B29),"",B29))</f>
        <v>3.7669800000000002</v>
      </c>
      <c r="C75" s="3">
        <f t="shared" si="19"/>
        <v>1332</v>
      </c>
      <c r="D75" s="3">
        <f t="shared" si="19"/>
        <v>41846.928782399998</v>
      </c>
      <c r="E75" s="3">
        <f t="shared" si="19"/>
        <v>165</v>
      </c>
      <c r="F75" s="3">
        <f t="shared" si="19"/>
        <v>5183.7411780000002</v>
      </c>
      <c r="G75" s="3" t="str">
        <f t="shared" si="19"/>
        <v/>
      </c>
      <c r="H75" s="3" t="str">
        <f t="shared" si="19"/>
        <v/>
      </c>
      <c r="I75" s="3" t="str">
        <f t="shared" si="19"/>
        <v/>
      </c>
      <c r="J75" s="3" t="str">
        <f t="shared" si="19"/>
        <v/>
      </c>
      <c r="K75" s="3" t="str">
        <f t="shared" si="19"/>
        <v/>
      </c>
      <c r="L75" s="3" t="str">
        <f t="shared" si="19"/>
        <v/>
      </c>
      <c r="M75" s="3">
        <f t="shared" si="19"/>
        <v>70</v>
      </c>
      <c r="N75" s="3">
        <f t="shared" si="19"/>
        <v>12.3</v>
      </c>
    </row>
    <row r="76" spans="1:14" hidden="1" x14ac:dyDescent="0.2">
      <c r="A76" s="4" t="s">
        <v>84</v>
      </c>
      <c r="B76" s="3">
        <f t="shared" ref="B76:N76" si="20">IF(LEFT(B30,1) = "&lt;",0, IF(ISBLANK(B30),"",B30))</f>
        <v>3.5076999999999998</v>
      </c>
      <c r="C76" s="3">
        <f t="shared" si="20"/>
        <v>3090</v>
      </c>
      <c r="D76" s="3">
        <f t="shared" si="20"/>
        <v>90395.533620000002</v>
      </c>
      <c r="E76" s="3">
        <f t="shared" si="20"/>
        <v>880</v>
      </c>
      <c r="F76" s="3">
        <f t="shared" si="20"/>
        <v>25743.71184</v>
      </c>
      <c r="G76" s="3" t="str">
        <f t="shared" si="20"/>
        <v/>
      </c>
      <c r="H76" s="3" t="str">
        <f t="shared" si="20"/>
        <v/>
      </c>
      <c r="I76" s="3" t="str">
        <f t="shared" si="20"/>
        <v/>
      </c>
      <c r="J76" s="3" t="str">
        <f t="shared" si="20"/>
        <v/>
      </c>
      <c r="K76" s="3" t="str">
        <f t="shared" si="20"/>
        <v/>
      </c>
      <c r="L76" s="3" t="str">
        <f t="shared" si="20"/>
        <v/>
      </c>
      <c r="M76" s="3">
        <f t="shared" si="20"/>
        <v>75</v>
      </c>
      <c r="N76" s="3">
        <f t="shared" si="20"/>
        <v>11.3</v>
      </c>
    </row>
    <row r="77" spans="1:14" hidden="1" x14ac:dyDescent="0.2">
      <c r="A77" s="4" t="s">
        <v>85</v>
      </c>
      <c r="B77" s="3">
        <f t="shared" ref="B77:N77" si="21">IF(LEFT(B31,1) = "&lt;",0, IF(ISBLANK(B31),"",B31))</f>
        <v>3.8108399999999998</v>
      </c>
      <c r="C77" s="3">
        <f t="shared" si="21"/>
        <v>2705</v>
      </c>
      <c r="D77" s="3">
        <f t="shared" si="21"/>
        <v>85971.407147999984</v>
      </c>
      <c r="E77" s="3">
        <f t="shared" si="21"/>
        <v>1635</v>
      </c>
      <c r="F77" s="3">
        <f t="shared" si="21"/>
        <v>51964.233155999995</v>
      </c>
      <c r="G77" s="3" t="str">
        <f t="shared" si="21"/>
        <v/>
      </c>
      <c r="H77" s="3" t="str">
        <f t="shared" si="21"/>
        <v/>
      </c>
      <c r="I77" s="3" t="str">
        <f t="shared" si="21"/>
        <v/>
      </c>
      <c r="J77" s="3" t="str">
        <f t="shared" si="21"/>
        <v/>
      </c>
      <c r="K77" s="3" t="str">
        <f t="shared" si="21"/>
        <v/>
      </c>
      <c r="L77" s="3" t="str">
        <f t="shared" si="21"/>
        <v/>
      </c>
      <c r="M77" s="3">
        <f t="shared" si="21"/>
        <v>83</v>
      </c>
      <c r="N77" s="3">
        <f t="shared" si="21"/>
        <v>10.199999999999999</v>
      </c>
    </row>
    <row r="78" spans="1:14" hidden="1" x14ac:dyDescent="0.2">
      <c r="A78" s="4" t="s">
        <v>86</v>
      </c>
      <c r="B78" s="3">
        <f t="shared" ref="B78:N78" si="22">IF(LEFT(B32,1) = "&lt;",0, IF(ISBLANK(B32),"",B32))</f>
        <v>3.83264</v>
      </c>
      <c r="C78" s="3">
        <f t="shared" si="22"/>
        <v>2595</v>
      </c>
      <c r="D78" s="3">
        <f t="shared" si="22"/>
        <v>82947.144672000009</v>
      </c>
      <c r="E78" s="3">
        <f t="shared" si="22"/>
        <v>580</v>
      </c>
      <c r="F78" s="3">
        <f t="shared" si="22"/>
        <v>18539.246208</v>
      </c>
      <c r="G78" s="3" t="str">
        <f t="shared" si="22"/>
        <v/>
      </c>
      <c r="H78" s="3" t="str">
        <f t="shared" si="22"/>
        <v/>
      </c>
      <c r="I78" s="3" t="str">
        <f t="shared" si="22"/>
        <v/>
      </c>
      <c r="J78" s="3" t="str">
        <f t="shared" si="22"/>
        <v/>
      </c>
      <c r="K78" s="3" t="str">
        <f t="shared" si="22"/>
        <v/>
      </c>
      <c r="L78" s="3" t="str">
        <f t="shared" si="22"/>
        <v/>
      </c>
      <c r="M78" s="3">
        <f t="shared" si="22"/>
        <v>78</v>
      </c>
      <c r="N78" s="3">
        <f t="shared" si="22"/>
        <v>5.8</v>
      </c>
    </row>
    <row r="79" spans="1:14" hidden="1" x14ac:dyDescent="0.2">
      <c r="A79" s="4" t="s">
        <v>87</v>
      </c>
      <c r="B79" s="3">
        <f t="shared" ref="B79:N79" si="23">IF(LEFT(B33,1) = "&lt;",0, IF(ISBLANK(B33),"",B33))</f>
        <v>3.5519599999999998</v>
      </c>
      <c r="C79" s="3">
        <f t="shared" si="23"/>
        <v>1991</v>
      </c>
      <c r="D79" s="3">
        <f t="shared" si="23"/>
        <v>58980.082682399996</v>
      </c>
      <c r="E79" s="3">
        <f t="shared" si="23"/>
        <v>285</v>
      </c>
      <c r="F79" s="3">
        <f t="shared" si="23"/>
        <v>8442.6537239999998</v>
      </c>
      <c r="G79" s="3">
        <f t="shared" si="23"/>
        <v>201.2</v>
      </c>
      <c r="H79" s="3">
        <f t="shared" si="23"/>
        <v>5960.2172956799986</v>
      </c>
      <c r="I79" s="3">
        <f t="shared" si="23"/>
        <v>200</v>
      </c>
      <c r="J79" s="3">
        <f t="shared" si="23"/>
        <v>5924.6692799999992</v>
      </c>
      <c r="K79" s="3">
        <f t="shared" si="23"/>
        <v>4.5999999999999996</v>
      </c>
      <c r="L79" s="3">
        <f t="shared" si="23"/>
        <v>136.26739343999998</v>
      </c>
      <c r="M79" s="3">
        <f t="shared" si="23"/>
        <v>77</v>
      </c>
      <c r="N79" s="3">
        <f t="shared" si="23"/>
        <v>4.9000000000000004</v>
      </c>
    </row>
    <row r="80" spans="1:14" hidden="1" x14ac:dyDescent="0.2">
      <c r="A80" s="4" t="s">
        <v>88</v>
      </c>
      <c r="B80" s="3">
        <f t="shared" ref="B80:N80" si="24">IF(LEFT(B34,1) = "&lt;",0, IF(ISBLANK(B34),"",B34))</f>
        <v>4.0730599999999999</v>
      </c>
      <c r="C80" s="3">
        <f t="shared" si="24"/>
        <v>1748</v>
      </c>
      <c r="D80" s="3">
        <f t="shared" si="24"/>
        <v>59378.372059200003</v>
      </c>
      <c r="E80" s="3">
        <f t="shared" si="24"/>
        <v>315</v>
      </c>
      <c r="F80" s="3">
        <f t="shared" si="24"/>
        <v>10700.335926</v>
      </c>
      <c r="G80" s="3" t="str">
        <f t="shared" si="24"/>
        <v/>
      </c>
      <c r="H80" s="3" t="str">
        <f t="shared" si="24"/>
        <v/>
      </c>
      <c r="I80" s="3" t="str">
        <f t="shared" si="24"/>
        <v/>
      </c>
      <c r="J80" s="3" t="str">
        <f t="shared" si="24"/>
        <v/>
      </c>
      <c r="K80" s="3" t="str">
        <f t="shared" si="24"/>
        <v/>
      </c>
      <c r="L80" s="3" t="str">
        <f t="shared" si="24"/>
        <v/>
      </c>
      <c r="M80" s="3">
        <f t="shared" si="24"/>
        <v>84</v>
      </c>
      <c r="N80" s="3">
        <f t="shared" si="24"/>
        <v>11.6</v>
      </c>
    </row>
    <row r="81" spans="1:14" hidden="1" x14ac:dyDescent="0.2">
      <c r="A81" s="4" t="s">
        <v>89</v>
      </c>
      <c r="B81" s="3">
        <f t="shared" ref="B81:N81" si="25">IF(LEFT(B35,1) = "&lt;",0, IF(ISBLANK(B35),"",B35))</f>
        <v>4.16174</v>
      </c>
      <c r="C81" s="3">
        <f t="shared" si="25"/>
        <v>1871</v>
      </c>
      <c r="D81" s="3">
        <f t="shared" si="25"/>
        <v>64940.373603599997</v>
      </c>
      <c r="E81" s="3">
        <f t="shared" si="25"/>
        <v>965</v>
      </c>
      <c r="F81" s="3">
        <f t="shared" si="25"/>
        <v>33494.099693999997</v>
      </c>
      <c r="G81" s="3" t="str">
        <f t="shared" si="25"/>
        <v/>
      </c>
      <c r="H81" s="3" t="str">
        <f t="shared" si="25"/>
        <v/>
      </c>
      <c r="I81" s="3" t="str">
        <f t="shared" si="25"/>
        <v/>
      </c>
      <c r="J81" s="3" t="str">
        <f t="shared" si="25"/>
        <v/>
      </c>
      <c r="K81" s="3" t="str">
        <f t="shared" si="25"/>
        <v/>
      </c>
      <c r="L81" s="3" t="str">
        <f t="shared" si="25"/>
        <v/>
      </c>
      <c r="M81" s="3">
        <f t="shared" si="25"/>
        <v>83</v>
      </c>
      <c r="N81" s="3">
        <f t="shared" si="25"/>
        <v>5.2</v>
      </c>
    </row>
    <row r="82" spans="1:14" hidden="1" x14ac:dyDescent="0.2">
      <c r="A82" s="4" t="s">
        <v>90</v>
      </c>
      <c r="B82" s="3">
        <f t="shared" ref="B82:N82" si="26">IF(LEFT(B36,1) = "&lt;",0, IF(ISBLANK(B36),"",B36))</f>
        <v>4.4329700000000001</v>
      </c>
      <c r="C82" s="3">
        <f t="shared" si="26"/>
        <v>1793</v>
      </c>
      <c r="D82" s="3">
        <f t="shared" si="26"/>
        <v>66288.948851399997</v>
      </c>
      <c r="E82" s="3">
        <f t="shared" si="26"/>
        <v>735</v>
      </c>
      <c r="F82" s="3">
        <f t="shared" si="26"/>
        <v>27173.662802999999</v>
      </c>
      <c r="G82" s="3" t="str">
        <f t="shared" si="26"/>
        <v/>
      </c>
      <c r="H82" s="3" t="str">
        <f t="shared" si="26"/>
        <v/>
      </c>
      <c r="I82" s="3" t="str">
        <f t="shared" si="26"/>
        <v/>
      </c>
      <c r="J82" s="3" t="str">
        <f t="shared" si="26"/>
        <v/>
      </c>
      <c r="K82" s="3" t="str">
        <f t="shared" si="26"/>
        <v/>
      </c>
      <c r="L82" s="3" t="str">
        <f t="shared" si="26"/>
        <v/>
      </c>
      <c r="M82" s="3">
        <f t="shared" si="26"/>
        <v>84</v>
      </c>
      <c r="N82" s="3">
        <f t="shared" si="26"/>
        <v>7.3</v>
      </c>
    </row>
    <row r="83" spans="1:14" hidden="1" x14ac:dyDescent="0.2">
      <c r="A83" s="4" t="s">
        <v>91</v>
      </c>
      <c r="B83" s="3">
        <f t="shared" ref="B83:N83" si="27">IF(LEFT(B37,1) = "&lt;",0, IF(ISBLANK(B37),"",B37))</f>
        <v>3.90137</v>
      </c>
      <c r="C83" s="3">
        <f t="shared" si="27"/>
        <v>184.44</v>
      </c>
      <c r="D83" s="3">
        <f t="shared" si="27"/>
        <v>6001.2028145519998</v>
      </c>
      <c r="E83" s="3">
        <f t="shared" si="27"/>
        <v>135</v>
      </c>
      <c r="F83" s="3">
        <f t="shared" si="27"/>
        <v>4392.5524829999995</v>
      </c>
      <c r="G83" s="3" t="str">
        <f t="shared" si="27"/>
        <v/>
      </c>
      <c r="H83" s="3" t="str">
        <f t="shared" si="27"/>
        <v/>
      </c>
      <c r="I83" s="3" t="str">
        <f t="shared" si="27"/>
        <v/>
      </c>
      <c r="J83" s="3" t="str">
        <f t="shared" si="27"/>
        <v/>
      </c>
      <c r="K83" s="3" t="str">
        <f t="shared" si="27"/>
        <v/>
      </c>
      <c r="L83" s="3" t="str">
        <f t="shared" si="27"/>
        <v/>
      </c>
      <c r="M83" s="3">
        <f t="shared" si="27"/>
        <v>81</v>
      </c>
      <c r="N83" s="3">
        <f t="shared" si="27"/>
        <v>8.4</v>
      </c>
    </row>
    <row r="84" spans="1:14" hidden="1" x14ac:dyDescent="0.2">
      <c r="A84" s="4" t="s">
        <v>92</v>
      </c>
      <c r="B84" s="3">
        <f t="shared" ref="B84:N84" si="28">IF(LEFT(B38,1) = "&lt;",0, IF(ISBLANK(B38),"",B38))</f>
        <v>3.4779900000000001</v>
      </c>
      <c r="C84" s="3">
        <f t="shared" si="28"/>
        <v>1924</v>
      </c>
      <c r="D84" s="3">
        <f t="shared" si="28"/>
        <v>55808.3840184</v>
      </c>
      <c r="E84" s="3">
        <f t="shared" si="28"/>
        <v>205</v>
      </c>
      <c r="F84" s="3">
        <f t="shared" si="28"/>
        <v>5946.3195030000006</v>
      </c>
      <c r="G84" s="3" t="str">
        <f t="shared" si="28"/>
        <v/>
      </c>
      <c r="H84" s="3" t="str">
        <f t="shared" si="28"/>
        <v/>
      </c>
      <c r="I84" s="3" t="str">
        <f t="shared" si="28"/>
        <v/>
      </c>
      <c r="J84" s="3" t="str">
        <f t="shared" si="28"/>
        <v/>
      </c>
      <c r="K84" s="3" t="str">
        <f t="shared" si="28"/>
        <v/>
      </c>
      <c r="L84" s="3" t="str">
        <f t="shared" si="28"/>
        <v/>
      </c>
      <c r="M84" s="3">
        <f t="shared" si="28"/>
        <v>76</v>
      </c>
      <c r="N84" s="3">
        <f t="shared" si="28"/>
        <v>12.1</v>
      </c>
    </row>
    <row r="85" spans="1:14" hidden="1" x14ac:dyDescent="0.2">
      <c r="A85" s="4" t="s">
        <v>93</v>
      </c>
      <c r="B85" s="3">
        <f t="shared" ref="B85:N85" si="29">IF(LEFT(B39,1) = "&lt;",0, IF(ISBLANK(B39),"",B39))</f>
        <v>3.6546599999999998</v>
      </c>
      <c r="C85" s="3">
        <f t="shared" si="29"/>
        <v>2029</v>
      </c>
      <c r="D85" s="3">
        <f t="shared" si="29"/>
        <v>61843.644867599993</v>
      </c>
      <c r="E85" s="3">
        <f t="shared" si="29"/>
        <v>310</v>
      </c>
      <c r="F85" s="3">
        <f t="shared" si="29"/>
        <v>9448.7579640000004</v>
      </c>
      <c r="G85" s="3" t="str">
        <f t="shared" si="29"/>
        <v/>
      </c>
      <c r="H85" s="3" t="str">
        <f t="shared" si="29"/>
        <v/>
      </c>
      <c r="I85" s="3" t="str">
        <f t="shared" si="29"/>
        <v/>
      </c>
      <c r="J85" s="3" t="str">
        <f t="shared" si="29"/>
        <v/>
      </c>
      <c r="K85" s="3" t="str">
        <f t="shared" si="29"/>
        <v/>
      </c>
      <c r="L85" s="3" t="str">
        <f t="shared" si="29"/>
        <v/>
      </c>
      <c r="M85" s="3">
        <f t="shared" si="29"/>
        <v>82</v>
      </c>
      <c r="N85" s="3">
        <f t="shared" si="29"/>
        <v>4.7</v>
      </c>
    </row>
    <row r="86" spans="1:14" hidden="1" x14ac:dyDescent="0.2">
      <c r="A86" s="4" t="s">
        <v>94</v>
      </c>
      <c r="B86" s="3">
        <f t="shared" ref="B86:N86" si="30">IF(LEFT(B40,1) = "&lt;",0, IF(ISBLANK(B40),"",B40))</f>
        <v>3.96055</v>
      </c>
      <c r="C86" s="3">
        <f t="shared" si="30"/>
        <v>2201</v>
      </c>
      <c r="D86" s="3">
        <f t="shared" si="30"/>
        <v>72701.202387000012</v>
      </c>
      <c r="E86" s="3">
        <f t="shared" si="30"/>
        <v>155</v>
      </c>
      <c r="F86" s="3">
        <f t="shared" si="30"/>
        <v>5119.8029850000003</v>
      </c>
      <c r="G86" s="3">
        <f t="shared" si="30"/>
        <v>13.7</v>
      </c>
      <c r="H86" s="3">
        <f t="shared" si="30"/>
        <v>452.52452189999997</v>
      </c>
      <c r="I86" s="3">
        <f t="shared" si="30"/>
        <v>12</v>
      </c>
      <c r="J86" s="3">
        <f t="shared" si="30"/>
        <v>396.37184400000001</v>
      </c>
      <c r="K86" s="3">
        <f t="shared" si="30"/>
        <v>0.75</v>
      </c>
      <c r="L86" s="3">
        <f t="shared" si="30"/>
        <v>24.773240250000001</v>
      </c>
      <c r="M86" s="3">
        <f t="shared" si="30"/>
        <v>97</v>
      </c>
      <c r="N86" s="3">
        <f t="shared" si="30"/>
        <v>11.3</v>
      </c>
    </row>
    <row r="87" spans="1:14" hidden="1" x14ac:dyDescent="0.2">
      <c r="A87" s="4" t="s">
        <v>95</v>
      </c>
      <c r="B87" s="3">
        <f t="shared" ref="B87:N87" si="31">IF(LEFT(B41,1) = "&lt;",0, IF(ISBLANK(B41),"",B41))</f>
        <v>3.4852599999999998</v>
      </c>
      <c r="C87" s="3">
        <f t="shared" si="31"/>
        <v>2064</v>
      </c>
      <c r="D87" s="3">
        <f t="shared" si="31"/>
        <v>59994.429177599995</v>
      </c>
      <c r="E87" s="3">
        <f t="shared" si="31"/>
        <v>95</v>
      </c>
      <c r="F87" s="3">
        <f t="shared" si="31"/>
        <v>2761.371498</v>
      </c>
      <c r="G87" s="3" t="str">
        <f t="shared" si="31"/>
        <v/>
      </c>
      <c r="H87" s="3" t="str">
        <f t="shared" si="31"/>
        <v/>
      </c>
      <c r="I87" s="3" t="str">
        <f t="shared" si="31"/>
        <v/>
      </c>
      <c r="J87" s="3" t="str">
        <f t="shared" si="31"/>
        <v/>
      </c>
      <c r="K87" s="3" t="str">
        <f t="shared" si="31"/>
        <v/>
      </c>
      <c r="L87" s="3" t="str">
        <f t="shared" si="31"/>
        <v/>
      </c>
      <c r="M87" s="3">
        <f t="shared" si="31"/>
        <v>93</v>
      </c>
      <c r="N87" s="3">
        <f t="shared" si="31"/>
        <v>8.6</v>
      </c>
    </row>
    <row r="88" spans="1:14" hidden="1" x14ac:dyDescent="0.2">
      <c r="A88" s="4" t="s">
        <v>96</v>
      </c>
      <c r="B88" s="3">
        <f t="shared" ref="B88:N88" si="32">IF(LEFT(B42,1) = "&lt;",0, IF(ISBLANK(B42),"",B42))</f>
        <v>2.3389600000000002</v>
      </c>
      <c r="C88" s="3">
        <f t="shared" si="32"/>
        <v>1335</v>
      </c>
      <c r="D88" s="3">
        <f t="shared" si="32"/>
        <v>26041.746744</v>
      </c>
      <c r="E88" s="3">
        <f t="shared" si="32"/>
        <v>130</v>
      </c>
      <c r="F88" s="3">
        <f t="shared" si="32"/>
        <v>2535.9004319999999</v>
      </c>
      <c r="G88" s="3" t="str">
        <f t="shared" si="32"/>
        <v/>
      </c>
      <c r="H88" s="3" t="str">
        <f t="shared" si="32"/>
        <v/>
      </c>
      <c r="I88" s="3" t="str">
        <f t="shared" si="32"/>
        <v/>
      </c>
      <c r="J88" s="3" t="str">
        <f t="shared" si="32"/>
        <v/>
      </c>
      <c r="K88" s="3" t="str">
        <f t="shared" si="32"/>
        <v/>
      </c>
      <c r="L88" s="3" t="str">
        <f t="shared" si="32"/>
        <v/>
      </c>
      <c r="M88" s="3">
        <f t="shared" si="32"/>
        <v>84</v>
      </c>
      <c r="N88" s="3">
        <f t="shared" si="32"/>
        <v>4.5999999999999996</v>
      </c>
    </row>
    <row r="89" spans="1:14" hidden="1" x14ac:dyDescent="0.2">
      <c r="A89" s="4" t="s">
        <v>97</v>
      </c>
      <c r="B89" s="3">
        <f t="shared" ref="B89:N89" si="33">IF(LEFT(B43,1) = "&lt;",0, IF(ISBLANK(B43),"",B43))</f>
        <v>2.4584999999999999</v>
      </c>
      <c r="C89" s="3">
        <f t="shared" si="33"/>
        <v>2018</v>
      </c>
      <c r="D89" s="3">
        <f t="shared" si="33"/>
        <v>41376.850019999998</v>
      </c>
      <c r="E89" s="3">
        <f t="shared" si="33"/>
        <v>330</v>
      </c>
      <c r="F89" s="3">
        <f t="shared" si="33"/>
        <v>6766.283699999999</v>
      </c>
      <c r="G89" s="3" t="str">
        <f t="shared" si="33"/>
        <v/>
      </c>
      <c r="H89" s="3" t="str">
        <f t="shared" si="33"/>
        <v/>
      </c>
      <c r="I89" s="3" t="str">
        <f t="shared" si="33"/>
        <v/>
      </c>
      <c r="J89" s="3" t="str">
        <f t="shared" si="33"/>
        <v/>
      </c>
      <c r="K89" s="3" t="str">
        <f t="shared" si="33"/>
        <v/>
      </c>
      <c r="L89" s="3" t="str">
        <f t="shared" si="33"/>
        <v/>
      </c>
      <c r="M89" s="3">
        <f t="shared" si="33"/>
        <v>74</v>
      </c>
      <c r="N89" s="3">
        <f t="shared" si="33"/>
        <v>9.5</v>
      </c>
    </row>
    <row r="90" spans="1:14" hidden="1" x14ac:dyDescent="0.2">
      <c r="A90" s="4" t="s">
        <v>98</v>
      </c>
      <c r="B90" s="3">
        <f t="shared" ref="B90:N90" si="34">IF(LEFT(B44,1) = "&lt;",0, IF(ISBLANK(B44),"",B44))</f>
        <v>2.40178</v>
      </c>
      <c r="C90" s="3">
        <f t="shared" si="34"/>
        <v>2138</v>
      </c>
      <c r="D90" s="3">
        <f t="shared" si="34"/>
        <v>42825.947037600003</v>
      </c>
      <c r="E90" s="3">
        <f t="shared" si="34"/>
        <v>105</v>
      </c>
      <c r="F90" s="3">
        <f t="shared" si="34"/>
        <v>2103.238746</v>
      </c>
      <c r="G90" s="3" t="str">
        <f t="shared" si="34"/>
        <v/>
      </c>
      <c r="H90" s="3" t="str">
        <f t="shared" si="34"/>
        <v/>
      </c>
      <c r="I90" s="3" t="str">
        <f t="shared" si="34"/>
        <v/>
      </c>
      <c r="J90" s="3" t="str">
        <f t="shared" si="34"/>
        <v/>
      </c>
      <c r="K90" s="3" t="str">
        <f t="shared" si="34"/>
        <v/>
      </c>
      <c r="L90" s="3" t="str">
        <f t="shared" si="34"/>
        <v/>
      </c>
      <c r="M90" s="3">
        <f t="shared" si="34"/>
        <v>75</v>
      </c>
      <c r="N90" s="3">
        <f t="shared" si="34"/>
        <v>12.1</v>
      </c>
    </row>
    <row r="91" spans="1:14" hidden="1" x14ac:dyDescent="0.2">
      <c r="A91" s="4" t="s">
        <v>99</v>
      </c>
      <c r="B91" s="3">
        <f t="shared" ref="B91:N91" si="35">IF(LEFT(B45,1) = "&lt;",0, IF(ISBLANK(B45),"",B45))</f>
        <v>2.26892</v>
      </c>
      <c r="C91" s="3">
        <f t="shared" si="35"/>
        <v>1074</v>
      </c>
      <c r="D91" s="3">
        <f t="shared" si="35"/>
        <v>20323.079467200001</v>
      </c>
      <c r="E91" s="3">
        <f t="shared" si="35"/>
        <v>140</v>
      </c>
      <c r="F91" s="3">
        <f t="shared" si="35"/>
        <v>2649.1909919999998</v>
      </c>
      <c r="G91" s="3" t="str">
        <f t="shared" si="35"/>
        <v/>
      </c>
      <c r="H91" s="3" t="str">
        <f t="shared" si="35"/>
        <v/>
      </c>
      <c r="I91" s="3" t="str">
        <f t="shared" si="35"/>
        <v/>
      </c>
      <c r="J91" s="3" t="str">
        <f t="shared" si="35"/>
        <v/>
      </c>
      <c r="K91" s="3" t="str">
        <f t="shared" si="35"/>
        <v/>
      </c>
      <c r="L91" s="3" t="str">
        <f t="shared" si="35"/>
        <v/>
      </c>
      <c r="M91" s="3">
        <f t="shared" si="35"/>
        <v>77</v>
      </c>
      <c r="N91" s="3">
        <f t="shared" si="35"/>
        <v>12</v>
      </c>
    </row>
    <row r="92" spans="1:14" hidden="1" x14ac:dyDescent="0.2">
      <c r="A92" s="4" t="s">
        <v>100</v>
      </c>
      <c r="B92" s="3">
        <f t="shared" ref="B92:N92" si="36">IF(LEFT(B46,1) = "&lt;",0, IF(ISBLANK(B46),"",B46))</f>
        <v>3.3029099999999998</v>
      </c>
      <c r="C92" s="3">
        <f t="shared" si="36"/>
        <v>1179</v>
      </c>
      <c r="D92" s="3">
        <f t="shared" si="36"/>
        <v>32477.0516226</v>
      </c>
      <c r="E92" s="3">
        <f t="shared" si="36"/>
        <v>75</v>
      </c>
      <c r="F92" s="3">
        <f t="shared" si="36"/>
        <v>2065.9702049999996</v>
      </c>
      <c r="G92" s="3" t="str">
        <f t="shared" si="36"/>
        <v/>
      </c>
      <c r="H92" s="3" t="str">
        <f t="shared" si="36"/>
        <v/>
      </c>
      <c r="I92" s="3" t="str">
        <f t="shared" si="36"/>
        <v/>
      </c>
      <c r="J92" s="3" t="str">
        <f t="shared" si="36"/>
        <v/>
      </c>
      <c r="K92" s="3" t="str">
        <f t="shared" si="36"/>
        <v/>
      </c>
      <c r="L92" s="3" t="str">
        <f t="shared" si="36"/>
        <v/>
      </c>
      <c r="M92" s="3">
        <f t="shared" si="36"/>
        <v>77</v>
      </c>
      <c r="N92" s="3">
        <f t="shared" si="36"/>
        <v>4</v>
      </c>
    </row>
    <row r="93" spans="1:14" hidden="1" x14ac:dyDescent="0.2">
      <c r="A93" s="4" t="s">
        <v>101</v>
      </c>
      <c r="B93" s="3">
        <f t="shared" ref="B93:N93" si="37">IF(LEFT(B47,1) = "&lt;",0, IF(ISBLANK(B47),"",B47))</f>
        <v>3.4607899999999998</v>
      </c>
      <c r="C93" s="3">
        <f t="shared" si="37"/>
        <v>1344</v>
      </c>
      <c r="D93" s="3">
        <f t="shared" si="37"/>
        <v>38791.856678399992</v>
      </c>
      <c r="E93" s="3">
        <f t="shared" si="37"/>
        <v>145</v>
      </c>
      <c r="F93" s="3">
        <f t="shared" si="37"/>
        <v>4185.133347</v>
      </c>
      <c r="G93" s="3">
        <f t="shared" si="37"/>
        <v>16.7</v>
      </c>
      <c r="H93" s="3">
        <f t="shared" si="37"/>
        <v>482.01190961999998</v>
      </c>
      <c r="I93" s="3">
        <f t="shared" si="37"/>
        <v>15</v>
      </c>
      <c r="J93" s="3">
        <f t="shared" si="37"/>
        <v>432.94482899999997</v>
      </c>
      <c r="K93" s="3">
        <f t="shared" si="37"/>
        <v>1.6</v>
      </c>
      <c r="L93" s="3">
        <f t="shared" si="37"/>
        <v>46.180781760000002</v>
      </c>
      <c r="M93" s="3">
        <f t="shared" si="37"/>
        <v>73</v>
      </c>
      <c r="N93" s="3">
        <f t="shared" si="37"/>
        <v>6.83</v>
      </c>
    </row>
    <row r="94" spans="1:14" hidden="1" x14ac:dyDescent="0.2">
      <c r="A94" s="4" t="s">
        <v>102</v>
      </c>
      <c r="B94" s="3">
        <f t="shared" ref="B94:N94" si="38">IF(LEFT(B48,1) = "&lt;",0, IF(ISBLANK(B48),"",B48))</f>
        <v>4.0179600000000004</v>
      </c>
      <c r="C94" s="3">
        <f t="shared" si="38"/>
        <v>2603</v>
      </c>
      <c r="D94" s="3">
        <f t="shared" si="38"/>
        <v>87225.97399920001</v>
      </c>
      <c r="E94" s="3">
        <f t="shared" si="38"/>
        <v>155</v>
      </c>
      <c r="F94" s="3">
        <f t="shared" si="38"/>
        <v>5194.0168920000006</v>
      </c>
      <c r="G94" s="3" t="str">
        <f t="shared" si="38"/>
        <v/>
      </c>
      <c r="H94" s="3" t="str">
        <f t="shared" si="38"/>
        <v/>
      </c>
      <c r="I94" s="3" t="str">
        <f t="shared" si="38"/>
        <v/>
      </c>
      <c r="J94" s="3" t="str">
        <f t="shared" si="38"/>
        <v/>
      </c>
      <c r="K94" s="3" t="str">
        <f t="shared" si="38"/>
        <v/>
      </c>
      <c r="L94" s="3" t="str">
        <f t="shared" si="38"/>
        <v/>
      </c>
      <c r="M94" s="3">
        <f t="shared" si="38"/>
        <v>86</v>
      </c>
      <c r="N94" s="3">
        <f t="shared" si="38"/>
        <v>10.1</v>
      </c>
    </row>
    <row r="95" spans="1:14" hidden="1" x14ac:dyDescent="0.2">
      <c r="A95" s="4" t="s">
        <v>103</v>
      </c>
      <c r="B95" s="3">
        <f t="shared" ref="B95:N95" si="39">IF(LEFT(B49,1) = "&lt;",0, IF(ISBLANK(B49),"",B49))</f>
        <v>3.74302</v>
      </c>
      <c r="C95" s="3">
        <f t="shared" si="39"/>
        <v>1895</v>
      </c>
      <c r="D95" s="3">
        <f t="shared" si="39"/>
        <v>59155.810985999997</v>
      </c>
      <c r="E95" s="3">
        <f t="shared" si="39"/>
        <v>100</v>
      </c>
      <c r="F95" s="3">
        <f t="shared" si="39"/>
        <v>3121.67868</v>
      </c>
      <c r="G95" s="3" t="str">
        <f t="shared" si="39"/>
        <v/>
      </c>
      <c r="H95" s="3" t="str">
        <f t="shared" si="39"/>
        <v/>
      </c>
      <c r="I95" s="3" t="str">
        <f t="shared" si="39"/>
        <v/>
      </c>
      <c r="J95" s="3" t="str">
        <f t="shared" si="39"/>
        <v/>
      </c>
      <c r="K95" s="3" t="str">
        <f t="shared" si="39"/>
        <v/>
      </c>
      <c r="L95" s="3" t="str">
        <f t="shared" si="39"/>
        <v/>
      </c>
      <c r="M95" s="3">
        <f t="shared" si="39"/>
        <v>73</v>
      </c>
      <c r="N95" s="3">
        <f t="shared" si="39"/>
        <v>3.4</v>
      </c>
    </row>
    <row r="96" spans="1:14" x14ac:dyDescent="0.2">
      <c r="B96" s="3" t="str">
        <f t="shared" ref="B96:N96" si="40">IF(LEFT(B50,1) = "&lt;",0, IF(ISBLANK(B50),"",B50))</f>
        <v/>
      </c>
      <c r="C96" s="3" t="str">
        <f t="shared" si="40"/>
        <v/>
      </c>
      <c r="D96" s="3" t="str">
        <f t="shared" si="40"/>
        <v/>
      </c>
      <c r="E96" s="3" t="str">
        <f t="shared" si="40"/>
        <v/>
      </c>
      <c r="F96" s="3" t="str">
        <f t="shared" si="40"/>
        <v/>
      </c>
      <c r="G96" s="3" t="str">
        <f t="shared" si="40"/>
        <v/>
      </c>
      <c r="H96" s="3" t="str">
        <f t="shared" si="40"/>
        <v/>
      </c>
      <c r="I96" s="3" t="str">
        <f t="shared" si="40"/>
        <v/>
      </c>
      <c r="J96" s="3" t="str">
        <f t="shared" si="40"/>
        <v/>
      </c>
      <c r="K96" s="3" t="str">
        <f t="shared" si="40"/>
        <v/>
      </c>
      <c r="L96" s="3" t="str">
        <f t="shared" si="40"/>
        <v/>
      </c>
      <c r="M96" s="3" t="str">
        <f t="shared" si="40"/>
        <v/>
      </c>
      <c r="N96" s="3" t="str">
        <f t="shared" si="40"/>
        <v/>
      </c>
    </row>
  </sheetData>
  <sheetProtection password="FF4A" sheet="1"/>
  <mergeCells count="37">
    <mergeCell ref="M15"/>
    <mergeCell ref="M13:M14"/>
    <mergeCell ref="M10"/>
    <mergeCell ref="N15"/>
    <mergeCell ref="N13:N14"/>
    <mergeCell ref="N10"/>
    <mergeCell ref="K15"/>
    <mergeCell ref="K13:K14"/>
    <mergeCell ref="L15"/>
    <mergeCell ref="L13:L14"/>
    <mergeCell ref="K10:L10"/>
    <mergeCell ref="I15"/>
    <mergeCell ref="I13:I14"/>
    <mergeCell ref="J15"/>
    <mergeCell ref="J13:J14"/>
    <mergeCell ref="I10:J10"/>
    <mergeCell ref="G15"/>
    <mergeCell ref="G13:G14"/>
    <mergeCell ref="H15"/>
    <mergeCell ref="H13:H14"/>
    <mergeCell ref="G10:H10"/>
    <mergeCell ref="B2:D3"/>
    <mergeCell ref="E1:G4"/>
    <mergeCell ref="B9:N9"/>
    <mergeCell ref="B15"/>
    <mergeCell ref="B13:B14"/>
    <mergeCell ref="B10"/>
    <mergeCell ref="C15"/>
    <mergeCell ref="C13:C14"/>
    <mergeCell ref="D15"/>
    <mergeCell ref="D13:D14"/>
    <mergeCell ref="C10:D10"/>
    <mergeCell ref="E15"/>
    <mergeCell ref="E13:E14"/>
    <mergeCell ref="F15"/>
    <mergeCell ref="F13:F14"/>
    <mergeCell ref="E10:F10"/>
  </mergeCells>
  <conditionalFormatting sqref="B15:N15">
    <cfRule type="containsText" dxfId="15" priority="1" operator="containsText" text="13">
      <formula>NOT(ISERROR(SEARCH("13",B15)))</formula>
    </cfRule>
    <cfRule type="expression" dxfId="14" priority="2">
      <formula>NOT(AND(SUM(B51)=0,ISBLANK(B15)))</formula>
    </cfRule>
  </conditionalFormatting>
  <dataValidations count="3">
    <dataValidation type="list" sqref="B15:N15" xr:uid="{00000000-0002-0000-07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M50" xr:uid="{00000000-0002-0000-0700-000001000000}">
      <formula1>OR(LEFT(B19:B50,1)= "&lt;", AND(ISNUMBER(B19:B50),B19:B50&gt;=0))</formula1>
    </dataValidation>
    <dataValidation type="decimal" allowBlank="1" showErrorMessage="1" errorTitle="PH" error="Please choose a value between 0 and 14. Select Retry to enter a diffferent value or select Cancel to clear the value." sqref="N19:N50" xr:uid="{00000000-0002-0000-0700-000019000000}">
      <formula1>0</formula1>
      <formula2>14</formula2>
    </dataValidation>
  </dataValidations>
  <pageMargins left="0.5" right="0.5" top="0.5" bottom="0.5" header="0.315" footer="0.315"/>
  <pageSetup scale="85" fitToWidth="2" orientation="landscape" r:id="rId1"/>
  <headerFooter>
    <oddHeader>&amp;C&amp;"Aptos"&amp;12&amp;K000000 ROQUETTE RESTRICTED&amp;1#_x000D_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96"/>
  <sheetViews>
    <sheetView showGridLines="0" workbookViewId="0">
      <pane xSplit="1" ySplit="16" topLeftCell="B19" activePane="bottomRight" state="frozen"/>
      <selection pane="topRight" activeCell="B1" sqref="B1"/>
      <selection pane="bottomLeft" activeCell="A17" sqref="A17"/>
      <selection pane="bottomRight" activeCell="X28" sqref="X28"/>
    </sheetView>
  </sheetViews>
  <sheetFormatPr defaultColWidth="9.140625" defaultRowHeight="11.25" x14ac:dyDescent="0.2"/>
  <cols>
    <col min="1" max="1" width="11.85546875" style="3" customWidth="1"/>
    <col min="2" max="10" width="14.85546875" style="3" customWidth="1"/>
    <col min="11" max="12" width="16.42578125" style="3" customWidth="1"/>
    <col min="13" max="16" width="15" style="3" customWidth="1"/>
    <col min="17" max="17" width="14.85546875" style="3" customWidth="1"/>
    <col min="18" max="19" width="16.42578125" style="3" customWidth="1"/>
    <col min="20" max="21" width="17.28515625" style="3" customWidth="1"/>
    <col min="22" max="22" width="14.85546875" style="3" customWidth="1"/>
    <col min="23" max="24" width="17.28515625" style="3" customWidth="1"/>
    <col min="25" max="25" width="9.140625" style="3" customWidth="1"/>
    <col min="26" max="16384" width="9.140625" style="3"/>
  </cols>
  <sheetData>
    <row r="1" spans="1:24" x14ac:dyDescent="0.2">
      <c r="A1" s="4" t="s">
        <v>35</v>
      </c>
      <c r="B1" s="3" t="s">
        <v>11</v>
      </c>
      <c r="E1" s="37" t="s">
        <v>36</v>
      </c>
      <c r="F1" s="38" t="s">
        <v>36</v>
      </c>
      <c r="G1" s="39" t="s">
        <v>36</v>
      </c>
    </row>
    <row r="2" spans="1:24" x14ac:dyDescent="0.2">
      <c r="A2" s="4" t="s">
        <v>8</v>
      </c>
      <c r="B2" s="36" t="s">
        <v>9</v>
      </c>
      <c r="C2" s="36" t="s">
        <v>9</v>
      </c>
      <c r="D2" s="36" t="s">
        <v>9</v>
      </c>
      <c r="E2" s="40" t="s">
        <v>36</v>
      </c>
      <c r="F2" s="41" t="s">
        <v>36</v>
      </c>
      <c r="G2" s="42" t="s">
        <v>36</v>
      </c>
    </row>
    <row r="3" spans="1:24" x14ac:dyDescent="0.2">
      <c r="B3" s="36" t="s">
        <v>9</v>
      </c>
      <c r="C3" s="36" t="s">
        <v>9</v>
      </c>
      <c r="D3" s="36" t="s">
        <v>9</v>
      </c>
      <c r="E3" s="40" t="s">
        <v>36</v>
      </c>
      <c r="F3" s="41" t="s">
        <v>36</v>
      </c>
      <c r="G3" s="42" t="s">
        <v>36</v>
      </c>
    </row>
    <row r="4" spans="1:24" x14ac:dyDescent="0.2">
      <c r="E4" s="43" t="s">
        <v>36</v>
      </c>
      <c r="F4" s="44" t="s">
        <v>36</v>
      </c>
      <c r="G4" s="45" t="s">
        <v>36</v>
      </c>
    </row>
    <row r="5" spans="1:24" x14ac:dyDescent="0.2">
      <c r="A5" s="4" t="s">
        <v>37</v>
      </c>
      <c r="B5" s="3" t="s">
        <v>116</v>
      </c>
    </row>
    <row r="6" spans="1:24" x14ac:dyDescent="0.2">
      <c r="A6" s="4" t="s">
        <v>12</v>
      </c>
      <c r="B6" s="3" t="str">
        <f>Cover!C13 &amp; "-" &amp; Cover!D13</f>
        <v>12-2025</v>
      </c>
    </row>
    <row r="7" spans="1:24" hidden="1" x14ac:dyDescent="0.2"/>
    <row r="8" spans="1:24" hidden="1" x14ac:dyDescent="0.2"/>
    <row r="9" spans="1:24" ht="25.15" customHeight="1" x14ac:dyDescent="0.2">
      <c r="A9" s="16" t="s">
        <v>39</v>
      </c>
      <c r="B9" s="46" t="s">
        <v>125</v>
      </c>
      <c r="C9" s="47" t="s">
        <v>125</v>
      </c>
      <c r="D9" s="47" t="s">
        <v>125</v>
      </c>
      <c r="E9" s="47" t="s">
        <v>125</v>
      </c>
      <c r="F9" s="47" t="s">
        <v>125</v>
      </c>
      <c r="G9" s="47" t="s">
        <v>125</v>
      </c>
      <c r="H9" s="47" t="s">
        <v>125</v>
      </c>
      <c r="I9" s="47" t="s">
        <v>125</v>
      </c>
      <c r="J9" s="47" t="s">
        <v>125</v>
      </c>
      <c r="K9" s="47" t="s">
        <v>125</v>
      </c>
      <c r="L9" s="47" t="s">
        <v>125</v>
      </c>
      <c r="M9" s="47" t="s">
        <v>125</v>
      </c>
      <c r="N9" s="47" t="s">
        <v>125</v>
      </c>
      <c r="O9" s="47" t="s">
        <v>125</v>
      </c>
      <c r="P9" s="47" t="s">
        <v>125</v>
      </c>
      <c r="Q9" s="47" t="s">
        <v>125</v>
      </c>
      <c r="R9" s="47" t="s">
        <v>125</v>
      </c>
      <c r="S9" s="47" t="s">
        <v>125</v>
      </c>
      <c r="T9" s="47" t="s">
        <v>125</v>
      </c>
      <c r="U9" s="47" t="s">
        <v>125</v>
      </c>
      <c r="V9" s="48" t="s">
        <v>125</v>
      </c>
      <c r="W9" s="46" t="s">
        <v>126</v>
      </c>
      <c r="X9" s="48" t="s">
        <v>126</v>
      </c>
    </row>
    <row r="10" spans="1:24" x14ac:dyDescent="0.2">
      <c r="A10" s="17" t="s">
        <v>41</v>
      </c>
      <c r="B10" s="52" t="s">
        <v>42</v>
      </c>
      <c r="C10" s="46" t="s">
        <v>118</v>
      </c>
      <c r="D10" s="48" t="s">
        <v>118</v>
      </c>
      <c r="E10" s="46" t="s">
        <v>43</v>
      </c>
      <c r="F10" s="48" t="s">
        <v>43</v>
      </c>
      <c r="G10" s="46" t="s">
        <v>127</v>
      </c>
      <c r="H10" s="48" t="s">
        <v>127</v>
      </c>
      <c r="I10" s="46" t="s">
        <v>44</v>
      </c>
      <c r="J10" s="48" t="s">
        <v>44</v>
      </c>
      <c r="K10" s="46" t="s">
        <v>128</v>
      </c>
      <c r="L10" s="48" t="s">
        <v>128</v>
      </c>
      <c r="M10" s="46" t="s">
        <v>119</v>
      </c>
      <c r="N10" s="48" t="s">
        <v>119</v>
      </c>
      <c r="O10" s="46" t="s">
        <v>121</v>
      </c>
      <c r="P10" s="48" t="s">
        <v>121</v>
      </c>
      <c r="Q10" s="52" t="s">
        <v>45</v>
      </c>
      <c r="R10" s="46" t="s">
        <v>129</v>
      </c>
      <c r="S10" s="48" t="s">
        <v>129</v>
      </c>
      <c r="T10" s="52" t="s">
        <v>130</v>
      </c>
      <c r="U10" s="52" t="s">
        <v>131</v>
      </c>
      <c r="V10" s="52" t="s">
        <v>46</v>
      </c>
      <c r="W10" s="52" t="s">
        <v>132</v>
      </c>
      <c r="X10" s="52" t="s">
        <v>133</v>
      </c>
    </row>
    <row r="11" spans="1:24" x14ac:dyDescent="0.2">
      <c r="A11" s="17" t="s">
        <v>47</v>
      </c>
      <c r="B11" s="5" t="s">
        <v>48</v>
      </c>
      <c r="C11" s="5" t="s">
        <v>49</v>
      </c>
      <c r="D11" s="5" t="s">
        <v>50</v>
      </c>
      <c r="E11" s="5" t="s">
        <v>49</v>
      </c>
      <c r="F11" s="5" t="s">
        <v>50</v>
      </c>
      <c r="G11" s="5" t="s">
        <v>49</v>
      </c>
      <c r="H11" s="5" t="s">
        <v>50</v>
      </c>
      <c r="I11" s="5" t="s">
        <v>49</v>
      </c>
      <c r="J11" s="5" t="s">
        <v>50</v>
      </c>
      <c r="K11" s="5" t="s">
        <v>49</v>
      </c>
      <c r="L11" s="5" t="s">
        <v>50</v>
      </c>
      <c r="M11" s="5" t="s">
        <v>49</v>
      </c>
      <c r="N11" s="5" t="s">
        <v>50</v>
      </c>
      <c r="O11" s="5" t="s">
        <v>49</v>
      </c>
      <c r="P11" s="5" t="s">
        <v>50</v>
      </c>
      <c r="Q11" s="5" t="s">
        <v>51</v>
      </c>
      <c r="R11" s="5" t="s">
        <v>49</v>
      </c>
      <c r="S11" s="5" t="s">
        <v>50</v>
      </c>
      <c r="T11" s="5" t="s">
        <v>134</v>
      </c>
      <c r="U11" s="5" t="s">
        <v>134</v>
      </c>
      <c r="V11" s="5" t="s">
        <v>52</v>
      </c>
      <c r="W11" s="5" t="s">
        <v>50</v>
      </c>
      <c r="X11" s="23" t="s">
        <v>50</v>
      </c>
    </row>
    <row r="12" spans="1:24" x14ac:dyDescent="0.2">
      <c r="A12" s="17" t="s">
        <v>53</v>
      </c>
      <c r="B12" s="9" t="s">
        <v>122</v>
      </c>
      <c r="C12" s="9" t="s">
        <v>122</v>
      </c>
      <c r="D12" s="9" t="s">
        <v>122</v>
      </c>
      <c r="E12" s="9" t="s">
        <v>122</v>
      </c>
      <c r="F12" s="9" t="s">
        <v>122</v>
      </c>
      <c r="G12" s="9" t="s">
        <v>122</v>
      </c>
      <c r="H12" s="9" t="s">
        <v>122</v>
      </c>
      <c r="I12" s="9" t="s">
        <v>122</v>
      </c>
      <c r="J12" s="9" t="s">
        <v>122</v>
      </c>
      <c r="K12" s="9" t="s">
        <v>55</v>
      </c>
      <c r="L12" s="9" t="s">
        <v>55</v>
      </c>
      <c r="M12" s="9" t="s">
        <v>123</v>
      </c>
      <c r="N12" s="9" t="s">
        <v>123</v>
      </c>
      <c r="O12" s="9" t="s">
        <v>123</v>
      </c>
      <c r="P12" s="9" t="s">
        <v>123</v>
      </c>
      <c r="Q12" s="9" t="s">
        <v>122</v>
      </c>
      <c r="R12" s="9" t="s">
        <v>55</v>
      </c>
      <c r="S12" s="9" t="s">
        <v>55</v>
      </c>
      <c r="T12" s="9" t="s">
        <v>135</v>
      </c>
      <c r="U12" s="9" t="s">
        <v>135</v>
      </c>
      <c r="V12" s="9" t="s">
        <v>122</v>
      </c>
      <c r="W12" s="9" t="s">
        <v>135</v>
      </c>
      <c r="X12" s="24" t="s">
        <v>135</v>
      </c>
    </row>
    <row r="13" spans="1:24" x14ac:dyDescent="0.2">
      <c r="A13" s="17" t="s">
        <v>56</v>
      </c>
      <c r="B13" s="50" t="s">
        <v>57</v>
      </c>
      <c r="C13" s="50" t="s">
        <v>57</v>
      </c>
      <c r="D13" s="50" t="s">
        <v>57</v>
      </c>
      <c r="E13" s="50" t="s">
        <v>57</v>
      </c>
      <c r="F13" s="50" t="s">
        <v>57</v>
      </c>
      <c r="G13" s="50" t="s">
        <v>57</v>
      </c>
      <c r="H13" s="50" t="s">
        <v>57</v>
      </c>
      <c r="I13" s="50" t="s">
        <v>57</v>
      </c>
      <c r="J13" s="50" t="s">
        <v>57</v>
      </c>
      <c r="K13" s="50" t="s">
        <v>57</v>
      </c>
      <c r="L13" s="50" t="s">
        <v>57</v>
      </c>
      <c r="M13" s="50" t="s">
        <v>57</v>
      </c>
      <c r="N13" s="50" t="s">
        <v>57</v>
      </c>
      <c r="O13" s="50" t="s">
        <v>57</v>
      </c>
      <c r="P13" s="50" t="s">
        <v>57</v>
      </c>
      <c r="Q13" s="50" t="s">
        <v>57</v>
      </c>
      <c r="R13" s="50" t="s">
        <v>57</v>
      </c>
      <c r="S13" s="50" t="s">
        <v>57</v>
      </c>
      <c r="T13" s="50" t="s">
        <v>57</v>
      </c>
      <c r="U13" s="50" t="s">
        <v>57</v>
      </c>
      <c r="V13" s="50" t="s">
        <v>57</v>
      </c>
      <c r="W13" s="50" t="s">
        <v>57</v>
      </c>
      <c r="X13" s="54" t="s">
        <v>57</v>
      </c>
    </row>
    <row r="14" spans="1:24" x14ac:dyDescent="0.2">
      <c r="A14" s="17" t="s">
        <v>58</v>
      </c>
      <c r="B14" s="51" t="s">
        <v>57</v>
      </c>
      <c r="C14" s="51" t="s">
        <v>57</v>
      </c>
      <c r="D14" s="51" t="s">
        <v>57</v>
      </c>
      <c r="E14" s="51" t="s">
        <v>57</v>
      </c>
      <c r="F14" s="51" t="s">
        <v>57</v>
      </c>
      <c r="G14" s="51" t="s">
        <v>57</v>
      </c>
      <c r="H14" s="51" t="s">
        <v>57</v>
      </c>
      <c r="I14" s="51" t="s">
        <v>57</v>
      </c>
      <c r="J14" s="51" t="s">
        <v>57</v>
      </c>
      <c r="K14" s="51" t="s">
        <v>57</v>
      </c>
      <c r="L14" s="51" t="s">
        <v>57</v>
      </c>
      <c r="M14" s="51" t="s">
        <v>57</v>
      </c>
      <c r="N14" s="51" t="s">
        <v>57</v>
      </c>
      <c r="O14" s="51" t="s">
        <v>57</v>
      </c>
      <c r="P14" s="51" t="s">
        <v>57</v>
      </c>
      <c r="Q14" s="51" t="s">
        <v>57</v>
      </c>
      <c r="R14" s="51" t="s">
        <v>57</v>
      </c>
      <c r="S14" s="51" t="s">
        <v>57</v>
      </c>
      <c r="T14" s="51" t="s">
        <v>57</v>
      </c>
      <c r="U14" s="51" t="s">
        <v>57</v>
      </c>
      <c r="V14" s="51" t="s">
        <v>57</v>
      </c>
      <c r="W14" s="51" t="s">
        <v>57</v>
      </c>
      <c r="X14" s="55" t="s">
        <v>57</v>
      </c>
    </row>
    <row r="15" spans="1:24" x14ac:dyDescent="0.2">
      <c r="A15" s="17" t="s">
        <v>59</v>
      </c>
      <c r="B15" s="49"/>
      <c r="C15" s="49"/>
      <c r="D15" s="49"/>
      <c r="E15" s="49"/>
      <c r="F15" s="49"/>
      <c r="G15" s="49"/>
      <c r="H15" s="49"/>
      <c r="I15" s="49"/>
      <c r="J15" s="49"/>
      <c r="K15" s="49" t="s">
        <v>144</v>
      </c>
      <c r="L15" s="49" t="s">
        <v>144</v>
      </c>
      <c r="M15" s="49"/>
      <c r="N15" s="49"/>
      <c r="O15" s="49"/>
      <c r="P15" s="49"/>
      <c r="Q15" s="49"/>
      <c r="R15" s="49" t="s">
        <v>148</v>
      </c>
      <c r="S15" s="49" t="s">
        <v>148</v>
      </c>
      <c r="T15" s="49"/>
      <c r="U15" s="49"/>
      <c r="V15" s="49"/>
      <c r="W15" s="49"/>
      <c r="X15" s="53"/>
    </row>
    <row r="16" spans="1:24" x14ac:dyDescent="0.2">
      <c r="A16" s="18" t="s">
        <v>60</v>
      </c>
      <c r="B16" s="12"/>
      <c r="C16" s="12"/>
      <c r="D16" s="12"/>
      <c r="E16" s="12"/>
      <c r="F16" s="12"/>
      <c r="G16" s="12"/>
      <c r="H16" s="12"/>
      <c r="I16" s="12"/>
      <c r="J16" s="12"/>
      <c r="K16" s="12"/>
      <c r="L16" s="12"/>
      <c r="M16" s="12"/>
      <c r="N16" s="12"/>
      <c r="O16" s="12"/>
      <c r="P16" s="12"/>
      <c r="Q16" s="12"/>
      <c r="R16" s="35"/>
      <c r="S16" s="12"/>
      <c r="T16" s="12"/>
      <c r="U16" s="12"/>
      <c r="V16" s="12"/>
      <c r="W16" s="12"/>
      <c r="X16" s="25"/>
    </row>
    <row r="17" spans="1:24" hidden="1" x14ac:dyDescent="0.2">
      <c r="A17" s="17" t="s">
        <v>61</v>
      </c>
      <c r="B17" s="6">
        <v>142695</v>
      </c>
      <c r="C17" s="6">
        <v>142696</v>
      </c>
      <c r="D17" s="6">
        <v>142696</v>
      </c>
      <c r="E17" s="6">
        <v>142697</v>
      </c>
      <c r="F17" s="6">
        <v>142697</v>
      </c>
      <c r="G17" s="6">
        <v>142698</v>
      </c>
      <c r="H17" s="6">
        <v>142698</v>
      </c>
      <c r="I17" s="6">
        <v>142773</v>
      </c>
      <c r="J17" s="6">
        <v>142773</v>
      </c>
      <c r="K17" s="6">
        <v>142781</v>
      </c>
      <c r="L17" s="6">
        <v>142781</v>
      </c>
      <c r="M17" s="6">
        <v>142771</v>
      </c>
      <c r="N17" s="6">
        <v>142771</v>
      </c>
      <c r="O17" s="6">
        <v>142772</v>
      </c>
      <c r="P17" s="6">
        <v>142772</v>
      </c>
      <c r="Q17" s="6">
        <v>142700</v>
      </c>
      <c r="R17" s="6">
        <v>142759</v>
      </c>
      <c r="S17" s="6">
        <v>142759</v>
      </c>
      <c r="T17" s="6">
        <v>142761</v>
      </c>
      <c r="U17" s="6">
        <v>142762</v>
      </c>
      <c r="V17" s="6">
        <v>142699</v>
      </c>
      <c r="W17" s="6">
        <v>142789</v>
      </c>
      <c r="X17" s="26">
        <v>142790</v>
      </c>
    </row>
    <row r="18" spans="1:24" hidden="1" x14ac:dyDescent="0.2">
      <c r="A18" s="17" t="s">
        <v>62</v>
      </c>
      <c r="B18" s="6">
        <v>157</v>
      </c>
      <c r="C18" s="6">
        <v>162</v>
      </c>
      <c r="D18" s="6">
        <v>164</v>
      </c>
      <c r="E18" s="6">
        <v>162</v>
      </c>
      <c r="F18" s="6">
        <v>164</v>
      </c>
      <c r="G18" s="6">
        <v>162</v>
      </c>
      <c r="H18" s="6">
        <v>164</v>
      </c>
      <c r="I18" s="6">
        <v>162</v>
      </c>
      <c r="J18" s="6">
        <v>164</v>
      </c>
      <c r="K18" s="6">
        <v>162</v>
      </c>
      <c r="L18" s="6">
        <v>164</v>
      </c>
      <c r="M18" s="6">
        <v>162</v>
      </c>
      <c r="N18" s="6">
        <v>164</v>
      </c>
      <c r="O18" s="6">
        <v>162</v>
      </c>
      <c r="P18" s="6">
        <v>164</v>
      </c>
      <c r="Q18" s="6">
        <v>159</v>
      </c>
      <c r="R18" s="6">
        <v>162</v>
      </c>
      <c r="S18" s="6">
        <v>164</v>
      </c>
      <c r="T18" s="6">
        <v>173</v>
      </c>
      <c r="U18" s="6">
        <v>173</v>
      </c>
      <c r="V18" s="6">
        <v>156</v>
      </c>
      <c r="W18" s="6">
        <v>164</v>
      </c>
      <c r="X18" s="26">
        <v>164</v>
      </c>
    </row>
    <row r="19" spans="1:24" x14ac:dyDescent="0.2">
      <c r="A19" s="19" t="s">
        <v>63</v>
      </c>
      <c r="B19" s="7">
        <v>3.12</v>
      </c>
      <c r="C19" s="7">
        <v>27.23</v>
      </c>
      <c r="D19" s="11">
        <f>IF(LEFT(C19,1)="&lt;","&lt;",IF(AND(ISNUMBER('012-EFFLUENT'!B65),ISNUMBER(C65)),SUM(('012-EFFLUENT'!B65 *  C65) * 8.34),""))</f>
        <v>708.54638399999999</v>
      </c>
      <c r="E19" s="7">
        <v>28</v>
      </c>
      <c r="F19" s="11">
        <f>IF(LEFT(E19,1)="&lt;","&lt;",IF(AND(ISNUMBER('012-EFFLUENT'!B65),ISNUMBER(E65)),SUM(('012-EFFLUENT'!B65 *  E65) * 8.34),""))</f>
        <v>728.58240000000001</v>
      </c>
      <c r="G19" s="7">
        <v>0.23</v>
      </c>
      <c r="H19" s="11">
        <f>IF(LEFT(G19,1)="&lt;","&lt;",IF(AND(ISNUMBER('012-EFFLUENT'!B65),ISNUMBER(G65)),SUM(('012-EFFLUENT'!B65 *  G65) * 8.34),""))</f>
        <v>5.9847840000000003</v>
      </c>
      <c r="I19" s="7">
        <v>0.05</v>
      </c>
      <c r="J19" s="11">
        <f>IF(LEFT(I19,1)="&lt;","&lt;",IF(AND(ISNUMBER('012-EFFLUENT'!B65),ISNUMBER(I65)),SUM(('012-EFFLUENT'!B65 *  I65) * 8.34),""))</f>
        <v>1.3010400000000002</v>
      </c>
      <c r="K19" s="7">
        <v>1.56</v>
      </c>
      <c r="L19" s="11">
        <f>IF(LEFT(K19,1)="&lt;","&lt;",IF(AND(ISNUMBER('012-EFFLUENT'!B65),ISNUMBER(K65)),SUM(('012-EFFLUENT'!B65 *  K65) * 8.34),""))</f>
        <v>40.592448000000005</v>
      </c>
      <c r="M19" s="7"/>
      <c r="N19" s="11" t="str">
        <f>IF(LEFT(M19,1)="&lt;","&lt;",IF(AND(ISNUMBER('012-EFFLUENT'!B65),ISNUMBER(M65)),SUM(('012-EFFLUENT'!B65 *  M65) * 8.34),""))</f>
        <v/>
      </c>
      <c r="O19" s="7"/>
      <c r="P19" s="11" t="str">
        <f>IF(LEFT(O19,1)="&lt;","&lt;",IF(AND(ISNUMBER('012-EFFLUENT'!B65),ISNUMBER(O65)),SUM(('012-EFFLUENT'!B65 *  O65) * 8.34),""))</f>
        <v/>
      </c>
      <c r="Q19" s="7">
        <v>68</v>
      </c>
      <c r="R19" s="7" t="s">
        <v>150</v>
      </c>
      <c r="S19" s="11" t="str">
        <f>IF(LEFT(R19,1)="&lt;","&lt;",IF(AND(ISNUMBER('012-EFFLUENT'!B65),ISNUMBER(R65)),SUM(('012-EFFLUENT'!B65 *  R65) * 8.34),""))</f>
        <v>&lt;</v>
      </c>
      <c r="T19" s="7">
        <v>1</v>
      </c>
      <c r="U19" s="7">
        <v>1</v>
      </c>
      <c r="V19" s="7">
        <v>5.7</v>
      </c>
      <c r="W19" s="7"/>
      <c r="X19" s="27"/>
    </row>
    <row r="20" spans="1:24" x14ac:dyDescent="0.2">
      <c r="A20" s="19">
        <v>2</v>
      </c>
      <c r="B20" s="7">
        <v>3.19</v>
      </c>
      <c r="C20" s="7">
        <v>22.26</v>
      </c>
      <c r="D20" s="11">
        <f>IF(LEFT(C20,1)="&lt;","&lt;",IF(AND(ISNUMBER('012-EFFLUENT'!B66),ISNUMBER(C66)),SUM(('012-EFFLUENT'!B66 *  C66) * 8.34),""))</f>
        <v>592.21839599999998</v>
      </c>
      <c r="E20" s="7">
        <v>16</v>
      </c>
      <c r="F20" s="11">
        <f>IF(LEFT(E20,1)="&lt;","&lt;",IF(AND(ISNUMBER('012-EFFLUENT'!B66),ISNUMBER(E66)),SUM(('012-EFFLUENT'!B66 *  E66) * 8.34),""))</f>
        <v>425.67359999999996</v>
      </c>
      <c r="G20" s="7">
        <v>1.21</v>
      </c>
      <c r="H20" s="11">
        <f>IF(LEFT(G20,1)="&lt;","&lt;",IF(AND(ISNUMBER('012-EFFLUENT'!B66),ISNUMBER(G66)),SUM(('012-EFFLUENT'!B66 *  G66) * 8.34),""))</f>
        <v>32.191565999999995</v>
      </c>
      <c r="I20" s="7">
        <v>0.01</v>
      </c>
      <c r="J20" s="11">
        <f>IF(LEFT(I20,1)="&lt;","&lt;",IF(AND(ISNUMBER('012-EFFLUENT'!B66),ISNUMBER(I66)),SUM(('012-EFFLUENT'!B66 *  I66) * 8.34),""))</f>
        <v>0.266046</v>
      </c>
      <c r="K20" s="7" t="s">
        <v>145</v>
      </c>
      <c r="L20" s="11" t="str">
        <f>IF(LEFT(K20,1)="&lt;","&lt;",IF(AND(ISNUMBER('012-EFFLUENT'!B66),ISNUMBER(K66)),SUM(('012-EFFLUENT'!B66 *  K66) * 8.34),""))</f>
        <v>&lt;</v>
      </c>
      <c r="M20" s="7">
        <v>5.36</v>
      </c>
      <c r="N20" s="11">
        <f>IF(LEFT(M20,1)="&lt;","&lt;",IF(AND(ISNUMBER('012-EFFLUENT'!B66),ISNUMBER(M66)),SUM(('012-EFFLUENT'!B66 *  M66) * 8.34),""))</f>
        <v>142.60065600000001</v>
      </c>
      <c r="O20" s="7">
        <v>0.57999999999999996</v>
      </c>
      <c r="P20" s="11">
        <f>IF(LEFT(O20,1)="&lt;","&lt;",IF(AND(ISNUMBER('012-EFFLUENT'!B66),ISNUMBER(O66)),SUM(('012-EFFLUENT'!B66 *  O66) * 8.34),""))</f>
        <v>15.430667999999999</v>
      </c>
      <c r="Q20" s="7">
        <v>69</v>
      </c>
      <c r="R20" s="7" t="s">
        <v>150</v>
      </c>
      <c r="S20" s="11" t="str">
        <f>IF(LEFT(R20,1)="&lt;","&lt;",IF(AND(ISNUMBER('012-EFFLUENT'!B66),ISNUMBER(R66)),SUM(('012-EFFLUENT'!B66 *  R66) * 8.34),""))</f>
        <v>&lt;</v>
      </c>
      <c r="T20" s="7"/>
      <c r="U20" s="7"/>
      <c r="V20" s="7">
        <v>7.15</v>
      </c>
      <c r="W20" s="7"/>
      <c r="X20" s="27"/>
    </row>
    <row r="21" spans="1:24" x14ac:dyDescent="0.2">
      <c r="A21" s="19">
        <v>3</v>
      </c>
      <c r="B21" s="7">
        <v>3.19</v>
      </c>
      <c r="C21" s="7">
        <v>17.03</v>
      </c>
      <c r="D21" s="11">
        <f>IF(LEFT(C21,1)="&lt;","&lt;",IF(AND(ISNUMBER('012-EFFLUENT'!B67),ISNUMBER(C67)),SUM(('012-EFFLUENT'!B67 *  C67) * 8.34),""))</f>
        <v>453.07633800000002</v>
      </c>
      <c r="E21" s="7">
        <v>11</v>
      </c>
      <c r="F21" s="11">
        <f>IF(LEFT(E21,1)="&lt;","&lt;",IF(AND(ISNUMBER('012-EFFLUENT'!B67),ISNUMBER(E67)),SUM(('012-EFFLUENT'!B67 *  E67) * 8.34),""))</f>
        <v>292.65059999999994</v>
      </c>
      <c r="G21" s="7">
        <v>0.75</v>
      </c>
      <c r="H21" s="11">
        <f>IF(LEFT(G21,1)="&lt;","&lt;",IF(AND(ISNUMBER('012-EFFLUENT'!B67),ISNUMBER(G67)),SUM(('012-EFFLUENT'!B67 *  G67) * 8.34),""))</f>
        <v>19.95345</v>
      </c>
      <c r="I21" s="7">
        <v>0.02</v>
      </c>
      <c r="J21" s="11">
        <f>IF(LEFT(I21,1)="&lt;","&lt;",IF(AND(ISNUMBER('012-EFFLUENT'!B67),ISNUMBER(I67)),SUM(('012-EFFLUENT'!B67 *  I67) * 8.34),""))</f>
        <v>0.53209200000000001</v>
      </c>
      <c r="K21" s="7" t="s">
        <v>145</v>
      </c>
      <c r="L21" s="11" t="str">
        <f>IF(LEFT(K21,1)="&lt;","&lt;",IF(AND(ISNUMBER('012-EFFLUENT'!B67),ISNUMBER(K67)),SUM(('012-EFFLUENT'!B67 *  K67) * 8.34),""))</f>
        <v>&lt;</v>
      </c>
      <c r="M21" s="7"/>
      <c r="N21" s="11" t="str">
        <f>IF(LEFT(M21,1)="&lt;","&lt;",IF(AND(ISNUMBER('012-EFFLUENT'!B67),ISNUMBER(M67)),SUM(('012-EFFLUENT'!B67 *  M67) * 8.34),""))</f>
        <v/>
      </c>
      <c r="O21" s="7"/>
      <c r="P21" s="11" t="str">
        <f>IF(LEFT(O21,1)="&lt;","&lt;",IF(AND(ISNUMBER('012-EFFLUENT'!B67),ISNUMBER(O67)),SUM(('012-EFFLUENT'!B67 *  O67) * 8.34),""))</f>
        <v/>
      </c>
      <c r="Q21" s="7">
        <v>69.400000000000006</v>
      </c>
      <c r="R21" s="7" t="s">
        <v>150</v>
      </c>
      <c r="S21" s="11" t="str">
        <f>IF(LEFT(R21,1)="&lt;","&lt;",IF(AND(ISNUMBER('012-EFFLUENT'!B67),ISNUMBER(R67)),SUM(('012-EFFLUENT'!B67 *  R67) * 8.34),""))</f>
        <v>&lt;</v>
      </c>
      <c r="T21" s="7"/>
      <c r="U21" s="7"/>
      <c r="V21" s="7">
        <v>7.63</v>
      </c>
      <c r="W21" s="7"/>
      <c r="X21" s="27"/>
    </row>
    <row r="22" spans="1:24" x14ac:dyDescent="0.2">
      <c r="A22" s="19">
        <v>4</v>
      </c>
      <c r="B22" s="7">
        <v>4.5</v>
      </c>
      <c r="C22" s="7">
        <v>34.08</v>
      </c>
      <c r="D22" s="11">
        <f>IF(LEFT(C22,1)="&lt;","&lt;",IF(AND(ISNUMBER('012-EFFLUENT'!B68),ISNUMBER(C68)),SUM(('012-EFFLUENT'!B68 *  C68) * 8.34),""))</f>
        <v>1279.0223999999998</v>
      </c>
      <c r="E22" s="7">
        <v>13</v>
      </c>
      <c r="F22" s="11">
        <f>IF(LEFT(E22,1)="&lt;","&lt;",IF(AND(ISNUMBER('012-EFFLUENT'!B68),ISNUMBER(E68)),SUM(('012-EFFLUENT'!B68 *  E68) * 8.34),""))</f>
        <v>487.89</v>
      </c>
      <c r="G22" s="7">
        <v>0.23</v>
      </c>
      <c r="H22" s="11">
        <f>IF(LEFT(G22,1)="&lt;","&lt;",IF(AND(ISNUMBER('012-EFFLUENT'!B68),ISNUMBER(G68)),SUM(('012-EFFLUENT'!B68 *  G68) * 8.34),""))</f>
        <v>8.6319000000000017</v>
      </c>
      <c r="I22" s="7">
        <v>0.01</v>
      </c>
      <c r="J22" s="11">
        <f>IF(LEFT(I22,1)="&lt;","&lt;",IF(AND(ISNUMBER('012-EFFLUENT'!B68),ISNUMBER(I68)),SUM(('012-EFFLUENT'!B68 *  I68) * 8.34),""))</f>
        <v>0.37529999999999997</v>
      </c>
      <c r="K22" s="7" t="s">
        <v>145</v>
      </c>
      <c r="L22" s="11" t="str">
        <f>IF(LEFT(K22,1)="&lt;","&lt;",IF(AND(ISNUMBER('012-EFFLUENT'!B68),ISNUMBER(K68)),SUM(('012-EFFLUENT'!B68 *  K68) * 8.34),""))</f>
        <v>&lt;</v>
      </c>
      <c r="M22" s="7"/>
      <c r="N22" s="11" t="str">
        <f>IF(LEFT(M22,1)="&lt;","&lt;",IF(AND(ISNUMBER('012-EFFLUENT'!B68),ISNUMBER(M68)),SUM(('012-EFFLUENT'!B68 *  M68) * 8.34),""))</f>
        <v/>
      </c>
      <c r="O22" s="7"/>
      <c r="P22" s="11" t="str">
        <f>IF(LEFT(O22,1)="&lt;","&lt;",IF(AND(ISNUMBER('012-EFFLUENT'!B68),ISNUMBER(O68)),SUM(('012-EFFLUENT'!B68 *  O68) * 8.34),""))</f>
        <v/>
      </c>
      <c r="Q22" s="7">
        <v>62.2</v>
      </c>
      <c r="R22" s="7" t="s">
        <v>150</v>
      </c>
      <c r="S22" s="11" t="str">
        <f>IF(LEFT(R22,1)="&lt;","&lt;",IF(AND(ISNUMBER('012-EFFLUENT'!B68),ISNUMBER(R68)),SUM(('012-EFFLUENT'!B68 *  R68) * 8.34),""))</f>
        <v>&lt;</v>
      </c>
      <c r="T22" s="7"/>
      <c r="U22" s="7"/>
      <c r="V22" s="7">
        <v>7.71</v>
      </c>
      <c r="W22" s="7"/>
      <c r="X22" s="27"/>
    </row>
    <row r="23" spans="1:24" x14ac:dyDescent="0.2">
      <c r="A23" s="19">
        <v>5</v>
      </c>
      <c r="B23" s="7">
        <v>4.0999999999999996</v>
      </c>
      <c r="C23" s="7">
        <v>36.72</v>
      </c>
      <c r="D23" s="11">
        <f>IF(LEFT(C23,1)="&lt;","&lt;",IF(AND(ISNUMBER('012-EFFLUENT'!B69),ISNUMBER(C69)),SUM(('012-EFFLUENT'!B69 *  C69) * 8.34),""))</f>
        <v>1255.6036799999999</v>
      </c>
      <c r="E23" s="7">
        <v>21</v>
      </c>
      <c r="F23" s="11">
        <f>IF(LEFT(E23,1)="&lt;","&lt;",IF(AND(ISNUMBER('012-EFFLUENT'!B69),ISNUMBER(E69)),SUM(('012-EFFLUENT'!B69 *  E69) * 8.34),""))</f>
        <v>718.07399999999996</v>
      </c>
      <c r="G23" s="7">
        <v>0.7</v>
      </c>
      <c r="H23" s="11">
        <f>IF(LEFT(G23,1)="&lt;","&lt;",IF(AND(ISNUMBER('012-EFFLUENT'!B69),ISNUMBER(G69)),SUM(('012-EFFLUENT'!B69 *  G69) * 8.34),""))</f>
        <v>23.935799999999997</v>
      </c>
      <c r="I23" s="7">
        <v>0.01</v>
      </c>
      <c r="J23" s="11">
        <f>IF(LEFT(I23,1)="&lt;","&lt;",IF(AND(ISNUMBER('012-EFFLUENT'!B69),ISNUMBER(I69)),SUM(('012-EFFLUENT'!B69 *  I69) * 8.34),""))</f>
        <v>0.34193999999999997</v>
      </c>
      <c r="K23" s="7" t="s">
        <v>145</v>
      </c>
      <c r="L23" s="11" t="str">
        <f>IF(LEFT(K23,1)="&lt;","&lt;",IF(AND(ISNUMBER('012-EFFLUENT'!B69),ISNUMBER(K69)),SUM(('012-EFFLUENT'!B69 *  K69) * 8.34),""))</f>
        <v>&lt;</v>
      </c>
      <c r="M23" s="7"/>
      <c r="N23" s="11" t="str">
        <f>IF(LEFT(M23,1)="&lt;","&lt;",IF(AND(ISNUMBER('012-EFFLUENT'!B69),ISNUMBER(M69)),SUM(('012-EFFLUENT'!B69 *  M69) * 8.34),""))</f>
        <v/>
      </c>
      <c r="O23" s="7"/>
      <c r="P23" s="11" t="str">
        <f>IF(LEFT(O23,1)="&lt;","&lt;",IF(AND(ISNUMBER('012-EFFLUENT'!B69),ISNUMBER(O69)),SUM(('012-EFFLUENT'!B69 *  O69) * 8.34),""))</f>
        <v/>
      </c>
      <c r="Q23" s="7">
        <v>71</v>
      </c>
      <c r="R23" s="7" t="s">
        <v>150</v>
      </c>
      <c r="S23" s="11" t="str">
        <f>IF(LEFT(R23,1)="&lt;","&lt;",IF(AND(ISNUMBER('012-EFFLUENT'!B69),ISNUMBER(R69)),SUM(('012-EFFLUENT'!B69 *  R69) * 8.34),""))</f>
        <v>&lt;</v>
      </c>
      <c r="T23" s="7"/>
      <c r="U23" s="7"/>
      <c r="V23" s="7">
        <v>12.4</v>
      </c>
      <c r="W23" s="7"/>
      <c r="X23" s="27"/>
    </row>
    <row r="24" spans="1:24" x14ac:dyDescent="0.2">
      <c r="A24" s="19">
        <v>6</v>
      </c>
      <c r="B24" s="7">
        <v>3.42</v>
      </c>
      <c r="C24" s="7">
        <v>28.16</v>
      </c>
      <c r="D24" s="11">
        <f>IF(LEFT(C24,1)="&lt;","&lt;",IF(AND(ISNUMBER('012-EFFLUENT'!B70),ISNUMBER(C70)),SUM(('012-EFFLUENT'!B70 *  C70) * 8.34),""))</f>
        <v>803.20204799999999</v>
      </c>
      <c r="E24" s="7">
        <v>56</v>
      </c>
      <c r="F24" s="11">
        <f>IF(LEFT(E24,1)="&lt;","&lt;",IF(AND(ISNUMBER('012-EFFLUENT'!B70),ISNUMBER(E70)),SUM(('012-EFFLUENT'!B70 *  E70) * 8.34),""))</f>
        <v>1597.2767999999999</v>
      </c>
      <c r="G24" s="7">
        <v>0.3</v>
      </c>
      <c r="H24" s="11">
        <f>IF(LEFT(G24,1)="&lt;","&lt;",IF(AND(ISNUMBER('012-EFFLUENT'!B70),ISNUMBER(G70)),SUM(('012-EFFLUENT'!B70 *  G70) * 8.34),""))</f>
        <v>8.5568399999999993</v>
      </c>
      <c r="I24" s="7">
        <v>0.01</v>
      </c>
      <c r="J24" s="11">
        <f>IF(LEFT(I24,1)="&lt;","&lt;",IF(AND(ISNUMBER('012-EFFLUENT'!B70),ISNUMBER(I70)),SUM(('012-EFFLUENT'!B70 *  I70) * 8.34),""))</f>
        <v>0.28522799999999998</v>
      </c>
      <c r="K24" s="7" t="s">
        <v>145</v>
      </c>
      <c r="L24" s="11" t="str">
        <f>IF(LEFT(K24,1)="&lt;","&lt;",IF(AND(ISNUMBER('012-EFFLUENT'!B70),ISNUMBER(K70)),SUM(('012-EFFLUENT'!B70 *  K70) * 8.34),""))</f>
        <v>&lt;</v>
      </c>
      <c r="M24" s="7"/>
      <c r="N24" s="11" t="str">
        <f>IF(LEFT(M24,1)="&lt;","&lt;",IF(AND(ISNUMBER('012-EFFLUENT'!B70),ISNUMBER(M70)),SUM(('012-EFFLUENT'!B70 *  M70) * 8.34),""))</f>
        <v/>
      </c>
      <c r="O24" s="7"/>
      <c r="P24" s="11" t="str">
        <f>IF(LEFT(O24,1)="&lt;","&lt;",IF(AND(ISNUMBER('012-EFFLUENT'!B70),ISNUMBER(O70)),SUM(('012-EFFLUENT'!B70 *  O70) * 8.34),""))</f>
        <v/>
      </c>
      <c r="Q24" s="7">
        <v>75</v>
      </c>
      <c r="R24" s="7" t="s">
        <v>150</v>
      </c>
      <c r="S24" s="11" t="str">
        <f>IF(LEFT(R24,1)="&lt;","&lt;",IF(AND(ISNUMBER('012-EFFLUENT'!B70),ISNUMBER(R70)),SUM(('012-EFFLUENT'!B70 *  R70) * 8.34),""))</f>
        <v>&lt;</v>
      </c>
      <c r="T24" s="7"/>
      <c r="U24" s="7"/>
      <c r="V24" s="7">
        <v>7.6</v>
      </c>
      <c r="W24" s="7"/>
      <c r="X24" s="27"/>
    </row>
    <row r="25" spans="1:24" x14ac:dyDescent="0.2">
      <c r="A25" s="20">
        <v>7</v>
      </c>
      <c r="B25" s="12">
        <v>3.89</v>
      </c>
      <c r="C25" s="12">
        <v>3.57</v>
      </c>
      <c r="D25" s="14">
        <f>IF(LEFT(C25,1)="&lt;","&lt;",IF(AND(ISNUMBER('012-EFFLUENT'!B71),ISNUMBER(C71)),SUM(('012-EFFLUENT'!B71 *  C71) * 8.34),""))</f>
        <v>115.820082</v>
      </c>
      <c r="E25" s="12">
        <v>48</v>
      </c>
      <c r="F25" s="14">
        <f>IF(LEFT(E25,1)="&lt;","&lt;",IF(AND(ISNUMBER('012-EFFLUENT'!B71),ISNUMBER(E71)),SUM(('012-EFFLUENT'!B71 *  E71) * 8.34),""))</f>
        <v>1557.2447999999999</v>
      </c>
      <c r="G25" s="12">
        <v>0.36</v>
      </c>
      <c r="H25" s="14">
        <f>IF(LEFT(G25,1)="&lt;","&lt;",IF(AND(ISNUMBER('012-EFFLUENT'!B71),ISNUMBER(G71)),SUM(('012-EFFLUENT'!B71 *  G71) * 8.34),""))</f>
        <v>11.679336000000001</v>
      </c>
      <c r="I25" s="12">
        <v>0.02</v>
      </c>
      <c r="J25" s="14">
        <f>IF(LEFT(I25,1)="&lt;","&lt;",IF(AND(ISNUMBER('012-EFFLUENT'!B71),ISNUMBER(I71)),SUM(('012-EFFLUENT'!B71 *  I71) * 8.34),""))</f>
        <v>0.6488520000000001</v>
      </c>
      <c r="K25" s="12" t="s">
        <v>145</v>
      </c>
      <c r="L25" s="14" t="str">
        <f>IF(LEFT(K25,1)="&lt;","&lt;",IF(AND(ISNUMBER('012-EFFLUENT'!B71),ISNUMBER(K71)),SUM(('012-EFFLUENT'!B71 *  K71) * 8.34),""))</f>
        <v>&lt;</v>
      </c>
      <c r="M25" s="12"/>
      <c r="N25" s="14" t="str">
        <f>IF(LEFT(M25,1)="&lt;","&lt;",IF(AND(ISNUMBER('012-EFFLUENT'!B71),ISNUMBER(M71)),SUM(('012-EFFLUENT'!B71 *  M71) * 8.34),""))</f>
        <v/>
      </c>
      <c r="O25" s="12"/>
      <c r="P25" s="14" t="str">
        <f>IF(LEFT(O25,1)="&lt;","&lt;",IF(AND(ISNUMBER('012-EFFLUENT'!B71),ISNUMBER(O71)),SUM(('012-EFFLUENT'!B71 *  O71) * 8.34),""))</f>
        <v/>
      </c>
      <c r="Q25" s="12">
        <v>75</v>
      </c>
      <c r="R25" s="12" t="s">
        <v>150</v>
      </c>
      <c r="S25" s="14" t="str">
        <f>IF(LEFT(R25,1)="&lt;","&lt;",IF(AND(ISNUMBER('012-EFFLUENT'!B71),ISNUMBER(R71)),SUM(('012-EFFLUENT'!B71 *  R71) * 8.34),""))</f>
        <v>&lt;</v>
      </c>
      <c r="T25" s="12"/>
      <c r="U25" s="12"/>
      <c r="V25" s="12">
        <v>7.4</v>
      </c>
      <c r="W25" s="12"/>
      <c r="X25" s="25"/>
    </row>
    <row r="26" spans="1:24" x14ac:dyDescent="0.2">
      <c r="A26" s="19">
        <v>8</v>
      </c>
      <c r="B26" s="7">
        <v>4.08</v>
      </c>
      <c r="C26" s="7">
        <v>60.34</v>
      </c>
      <c r="D26" s="11">
        <f>IF(LEFT(C26,1)="&lt;","&lt;",IF(AND(ISNUMBER('012-EFFLUENT'!B72),ISNUMBER(C72)),SUM(('012-EFFLUENT'!B72 *  C72) * 8.34),""))</f>
        <v>2053.2012480000003</v>
      </c>
      <c r="E26" s="7">
        <v>37</v>
      </c>
      <c r="F26" s="11">
        <f>IF(LEFT(E26,1)="&lt;","&lt;",IF(AND(ISNUMBER('012-EFFLUENT'!B72),ISNUMBER(E72)),SUM(('012-EFFLUENT'!B72 *  E72) * 8.34),""))</f>
        <v>1259.0064</v>
      </c>
      <c r="G26" s="7">
        <v>0.21</v>
      </c>
      <c r="H26" s="11">
        <f>IF(LEFT(G26,1)="&lt;","&lt;",IF(AND(ISNUMBER('012-EFFLUENT'!B72),ISNUMBER(G72)),SUM(('012-EFFLUENT'!B72 *  G72) * 8.34),""))</f>
        <v>7.1457119999999996</v>
      </c>
      <c r="I26" s="7">
        <v>0.02</v>
      </c>
      <c r="J26" s="11">
        <f>IF(LEFT(I26,1)="&lt;","&lt;",IF(AND(ISNUMBER('012-EFFLUENT'!B72),ISNUMBER(I72)),SUM(('012-EFFLUENT'!B72 *  I72) * 8.34),""))</f>
        <v>0.68054400000000004</v>
      </c>
      <c r="K26" s="7" t="s">
        <v>145</v>
      </c>
      <c r="L26" s="11" t="str">
        <f>IF(LEFT(K26,1)="&lt;","&lt;",IF(AND(ISNUMBER('012-EFFLUENT'!B72),ISNUMBER(K72)),SUM(('012-EFFLUENT'!B72 *  K72) * 8.34),""))</f>
        <v>&lt;</v>
      </c>
      <c r="M26" s="7">
        <v>10.36</v>
      </c>
      <c r="N26" s="11">
        <f>IF(LEFT(M26,1)="&lt;","&lt;",IF(AND(ISNUMBER('012-EFFLUENT'!B72),ISNUMBER(M72)),SUM(('012-EFFLUENT'!B72 *  M72) * 8.34),""))</f>
        <v>352.521792</v>
      </c>
      <c r="O26" s="7">
        <v>1.4</v>
      </c>
      <c r="P26" s="11">
        <f>IF(LEFT(O26,1)="&lt;","&lt;",IF(AND(ISNUMBER('012-EFFLUENT'!B72),ISNUMBER(O72)),SUM(('012-EFFLUENT'!B72 *  O72) * 8.34),""))</f>
        <v>47.638079999999995</v>
      </c>
      <c r="Q26" s="7">
        <v>72</v>
      </c>
      <c r="R26" s="7" t="s">
        <v>150</v>
      </c>
      <c r="S26" s="11" t="str">
        <f>IF(LEFT(R26,1)="&lt;","&lt;",IF(AND(ISNUMBER('012-EFFLUENT'!B72),ISNUMBER(R72)),SUM(('012-EFFLUENT'!B72 *  R72) * 8.34),""))</f>
        <v>&lt;</v>
      </c>
      <c r="T26" s="7"/>
      <c r="U26" s="7"/>
      <c r="V26" s="7">
        <v>7.1</v>
      </c>
      <c r="W26" s="7"/>
      <c r="X26" s="27"/>
    </row>
    <row r="27" spans="1:24" x14ac:dyDescent="0.2">
      <c r="A27" s="19">
        <v>9</v>
      </c>
      <c r="B27" s="7">
        <v>4.1900000000000004</v>
      </c>
      <c r="C27" s="7">
        <v>39.51</v>
      </c>
      <c r="D27" s="11">
        <f>IF(LEFT(C27,1)="&lt;","&lt;",IF(AND(ISNUMBER('012-EFFLUENT'!B73),ISNUMBER(C73)),SUM(('012-EFFLUENT'!B73 *  C73) * 8.34),""))</f>
        <v>1380.6611459999999</v>
      </c>
      <c r="E27" s="7">
        <v>21</v>
      </c>
      <c r="F27" s="11">
        <f>IF(LEFT(E27,1)="&lt;","&lt;",IF(AND(ISNUMBER('012-EFFLUENT'!B73),ISNUMBER(E73)),SUM(('012-EFFLUENT'!B73 *  E73) * 8.34),""))</f>
        <v>733.83660000000009</v>
      </c>
      <c r="G27" s="7">
        <v>0.32</v>
      </c>
      <c r="H27" s="11">
        <f>IF(LEFT(G27,1)="&lt;","&lt;",IF(AND(ISNUMBER('012-EFFLUENT'!B73),ISNUMBER(G73)),SUM(('012-EFFLUENT'!B73 *  G73) * 8.34),""))</f>
        <v>11.182272000000001</v>
      </c>
      <c r="I27" s="7">
        <v>0.02</v>
      </c>
      <c r="J27" s="11">
        <f>IF(LEFT(I27,1)="&lt;","&lt;",IF(AND(ISNUMBER('012-EFFLUENT'!B73),ISNUMBER(I73)),SUM(('012-EFFLUENT'!B73 *  I73) * 8.34),""))</f>
        <v>0.69889200000000007</v>
      </c>
      <c r="K27" s="7" t="s">
        <v>145</v>
      </c>
      <c r="L27" s="11" t="str">
        <f>IF(LEFT(K27,1)="&lt;","&lt;",IF(AND(ISNUMBER('012-EFFLUENT'!B73),ISNUMBER(K73)),SUM(('012-EFFLUENT'!B73 *  K73) * 8.34),""))</f>
        <v>&lt;</v>
      </c>
      <c r="M27" s="7"/>
      <c r="N27" s="11" t="str">
        <f>IF(LEFT(M27,1)="&lt;","&lt;",IF(AND(ISNUMBER('012-EFFLUENT'!B73),ISNUMBER(M73)),SUM(('012-EFFLUENT'!B73 *  M73) * 8.34),""))</f>
        <v/>
      </c>
      <c r="O27" s="7"/>
      <c r="P27" s="11" t="str">
        <f>IF(LEFT(O27,1)="&lt;","&lt;",IF(AND(ISNUMBER('012-EFFLUENT'!B73),ISNUMBER(O73)),SUM(('012-EFFLUENT'!B73 *  O73) * 8.34),""))</f>
        <v/>
      </c>
      <c r="Q27" s="7">
        <v>73</v>
      </c>
      <c r="R27" s="7" t="s">
        <v>150</v>
      </c>
      <c r="S27" s="11" t="str">
        <f>IF(LEFT(R27,1)="&lt;","&lt;",IF(AND(ISNUMBER('012-EFFLUENT'!B73),ISNUMBER(R73)),SUM(('012-EFFLUENT'!B73 *  R73) * 8.34),""))</f>
        <v>&lt;</v>
      </c>
      <c r="T27" s="7"/>
      <c r="U27" s="7"/>
      <c r="V27" s="7">
        <v>7.1</v>
      </c>
      <c r="W27" s="7"/>
      <c r="X27" s="27"/>
    </row>
    <row r="28" spans="1:24" x14ac:dyDescent="0.2">
      <c r="A28" s="19">
        <v>10</v>
      </c>
      <c r="B28" s="7">
        <v>3.68</v>
      </c>
      <c r="C28" s="7">
        <v>20.09</v>
      </c>
      <c r="D28" s="11">
        <f>IF(LEFT(C28,1)="&lt;","&lt;",IF(AND(ISNUMBER('012-EFFLUENT'!B74),ISNUMBER(C74)),SUM(('012-EFFLUENT'!B74 *  C74) * 8.34),""))</f>
        <v>616.58620800000006</v>
      </c>
      <c r="E28" s="7">
        <v>14</v>
      </c>
      <c r="F28" s="11">
        <f>IF(LEFT(E28,1)="&lt;","&lt;",IF(AND(ISNUMBER('012-EFFLUENT'!B74),ISNUMBER(E74)),SUM(('012-EFFLUENT'!B74 *  E74) * 8.34),""))</f>
        <v>429.67680000000001</v>
      </c>
      <c r="G28" s="7">
        <v>0.24</v>
      </c>
      <c r="H28" s="11">
        <f>IF(LEFT(G28,1)="&lt;","&lt;",IF(AND(ISNUMBER('012-EFFLUENT'!B74),ISNUMBER(G74)),SUM(('012-EFFLUENT'!B74 *  G74) * 8.34),""))</f>
        <v>7.365888</v>
      </c>
      <c r="I28" s="7">
        <v>0.01</v>
      </c>
      <c r="J28" s="11">
        <f>IF(LEFT(I28,1)="&lt;","&lt;",IF(AND(ISNUMBER('012-EFFLUENT'!B74),ISNUMBER(I74)),SUM(('012-EFFLUENT'!B74 *  I74) * 8.34),""))</f>
        <v>0.30691199999999996</v>
      </c>
      <c r="K28" s="7">
        <v>0</v>
      </c>
      <c r="L28" s="11">
        <f>IF(LEFT(K28,1)="&lt;","&lt;",IF(AND(ISNUMBER('012-EFFLUENT'!B74),ISNUMBER(K74)),SUM(('012-EFFLUENT'!B74 *  K74) * 8.34),""))</f>
        <v>0</v>
      </c>
      <c r="M28" s="7"/>
      <c r="N28" s="11" t="str">
        <f>IF(LEFT(M28,1)="&lt;","&lt;",IF(AND(ISNUMBER('012-EFFLUENT'!B74),ISNUMBER(M74)),SUM(('012-EFFLUENT'!B74 *  M74) * 8.34),""))</f>
        <v/>
      </c>
      <c r="O28" s="7"/>
      <c r="P28" s="11" t="str">
        <f>IF(LEFT(O28,1)="&lt;","&lt;",IF(AND(ISNUMBER('012-EFFLUENT'!B74),ISNUMBER(O74)),SUM(('012-EFFLUENT'!B74 *  O74) * 8.34),""))</f>
        <v/>
      </c>
      <c r="Q28" s="7">
        <v>73</v>
      </c>
      <c r="R28" s="7" t="s">
        <v>150</v>
      </c>
      <c r="S28" s="11" t="str">
        <f>IF(LEFT(R28,1)="&lt;","&lt;",IF(AND(ISNUMBER('012-EFFLUENT'!B74),ISNUMBER(R74)),SUM(('012-EFFLUENT'!B74 *  R74) * 8.34),""))</f>
        <v>&lt;</v>
      </c>
      <c r="T28" s="7"/>
      <c r="U28" s="7"/>
      <c r="V28" s="7">
        <v>7</v>
      </c>
      <c r="W28" s="7"/>
      <c r="X28" s="27"/>
    </row>
    <row r="29" spans="1:24" x14ac:dyDescent="0.2">
      <c r="A29" s="19">
        <v>11</v>
      </c>
      <c r="B29" s="7">
        <v>4.29</v>
      </c>
      <c r="C29" s="7">
        <v>32.4</v>
      </c>
      <c r="D29" s="11">
        <f>IF(LEFT(C29,1)="&lt;","&lt;",IF(AND(ISNUMBER('012-EFFLUENT'!B75),ISNUMBER(C75)),SUM(('012-EFFLUENT'!B75 *  C75) * 8.34),""))</f>
        <v>1159.2266399999999</v>
      </c>
      <c r="E29" s="7">
        <v>16</v>
      </c>
      <c r="F29" s="11">
        <f>IF(LEFT(E29,1)="&lt;","&lt;",IF(AND(ISNUMBER('012-EFFLUENT'!B75),ISNUMBER(E75)),SUM(('012-EFFLUENT'!B75 *  E75) * 8.34),""))</f>
        <v>572.45759999999996</v>
      </c>
      <c r="G29" s="7">
        <v>0.22</v>
      </c>
      <c r="H29" s="11">
        <f>IF(LEFT(G29,1)="&lt;","&lt;",IF(AND(ISNUMBER('012-EFFLUENT'!B75),ISNUMBER(G75)),SUM(('012-EFFLUENT'!B75 *  G75) * 8.34),""))</f>
        <v>7.8712919999999995</v>
      </c>
      <c r="I29" s="7">
        <v>0.02</v>
      </c>
      <c r="J29" s="11">
        <f>IF(LEFT(I29,1)="&lt;","&lt;",IF(AND(ISNUMBER('012-EFFLUENT'!B75),ISNUMBER(I75)),SUM(('012-EFFLUENT'!B75 *  I75) * 8.34),""))</f>
        <v>0.71557199999999999</v>
      </c>
      <c r="K29" s="7">
        <v>0</v>
      </c>
      <c r="L29" s="11">
        <f>IF(LEFT(K29,1)="&lt;","&lt;",IF(AND(ISNUMBER('012-EFFLUENT'!B75),ISNUMBER(K75)),SUM(('012-EFFLUENT'!B75 *  K75) * 8.34),""))</f>
        <v>0</v>
      </c>
      <c r="M29" s="7"/>
      <c r="N29" s="11" t="str">
        <f>IF(LEFT(M29,1)="&lt;","&lt;",IF(AND(ISNUMBER('012-EFFLUENT'!B75),ISNUMBER(M75)),SUM(('012-EFFLUENT'!B75 *  M75) * 8.34),""))</f>
        <v/>
      </c>
      <c r="O29" s="7"/>
      <c r="P29" s="11" t="str">
        <f>IF(LEFT(O29,1)="&lt;","&lt;",IF(AND(ISNUMBER('012-EFFLUENT'!B75),ISNUMBER(O75)),SUM(('012-EFFLUENT'!B75 *  O75) * 8.34),""))</f>
        <v/>
      </c>
      <c r="Q29" s="7">
        <v>72</v>
      </c>
      <c r="R29" s="7" t="s">
        <v>150</v>
      </c>
      <c r="S29" s="11" t="str">
        <f>IF(LEFT(R29,1)="&lt;","&lt;",IF(AND(ISNUMBER('012-EFFLUENT'!B75),ISNUMBER(R75)),SUM(('012-EFFLUENT'!B75 *  R75) * 8.34),""))</f>
        <v>&lt;</v>
      </c>
      <c r="T29" s="7"/>
      <c r="U29" s="7"/>
      <c r="V29" s="7">
        <v>7.23</v>
      </c>
      <c r="W29" s="7"/>
      <c r="X29" s="27"/>
    </row>
    <row r="30" spans="1:24" x14ac:dyDescent="0.2">
      <c r="A30" s="19">
        <v>12</v>
      </c>
      <c r="B30" s="7">
        <v>3.83</v>
      </c>
      <c r="C30" s="7">
        <v>33.76</v>
      </c>
      <c r="D30" s="11">
        <f>IF(LEFT(C30,1)="&lt;","&lt;",IF(AND(ISNUMBER('012-EFFLUENT'!B76),ISNUMBER(C76)),SUM(('012-EFFLUENT'!B76 *  C76) * 8.34),""))</f>
        <v>1078.3686719999998</v>
      </c>
      <c r="E30" s="7">
        <v>31</v>
      </c>
      <c r="F30" s="11">
        <f>IF(LEFT(E30,1)="&lt;","&lt;",IF(AND(ISNUMBER('012-EFFLUENT'!B76),ISNUMBER(E76)),SUM(('012-EFFLUENT'!B76 *  E76) * 8.34),""))</f>
        <v>990.20820000000003</v>
      </c>
      <c r="G30" s="7">
        <v>0.21</v>
      </c>
      <c r="H30" s="11">
        <f>IF(LEFT(G30,1)="&lt;","&lt;",IF(AND(ISNUMBER('012-EFFLUENT'!B76),ISNUMBER(G76)),SUM(('012-EFFLUENT'!B76 *  G76) * 8.34),""))</f>
        <v>6.7078620000000004</v>
      </c>
      <c r="I30" s="7">
        <v>0.05</v>
      </c>
      <c r="J30" s="11">
        <f>IF(LEFT(I30,1)="&lt;","&lt;",IF(AND(ISNUMBER('012-EFFLUENT'!B76),ISNUMBER(I76)),SUM(('012-EFFLUENT'!B76 *  I76) * 8.34),""))</f>
        <v>1.59711</v>
      </c>
      <c r="K30" s="7">
        <v>0</v>
      </c>
      <c r="L30" s="11">
        <f>IF(LEFT(K30,1)="&lt;","&lt;",IF(AND(ISNUMBER('012-EFFLUENT'!B76),ISNUMBER(K76)),SUM(('012-EFFLUENT'!B76 *  K76) * 8.34),""))</f>
        <v>0</v>
      </c>
      <c r="M30" s="7"/>
      <c r="N30" s="11" t="str">
        <f>IF(LEFT(M30,1)="&lt;","&lt;",IF(AND(ISNUMBER('012-EFFLUENT'!B76),ISNUMBER(M76)),SUM(('012-EFFLUENT'!B76 *  M76) * 8.34),""))</f>
        <v/>
      </c>
      <c r="O30" s="7"/>
      <c r="P30" s="11" t="str">
        <f>IF(LEFT(O30,1)="&lt;","&lt;",IF(AND(ISNUMBER('012-EFFLUENT'!B76),ISNUMBER(O76)),SUM(('012-EFFLUENT'!B76 *  O76) * 8.34),""))</f>
        <v/>
      </c>
      <c r="Q30" s="7">
        <v>69</v>
      </c>
      <c r="R30" s="7" t="s">
        <v>150</v>
      </c>
      <c r="S30" s="11" t="str">
        <f>IF(LEFT(R30,1)="&lt;","&lt;",IF(AND(ISNUMBER('012-EFFLUENT'!B76),ISNUMBER(R76)),SUM(('012-EFFLUENT'!B76 *  R76) * 8.34),""))</f>
        <v>&lt;</v>
      </c>
      <c r="T30" s="7"/>
      <c r="U30" s="7"/>
      <c r="V30" s="7">
        <v>7.1</v>
      </c>
      <c r="W30" s="7"/>
      <c r="X30" s="27"/>
    </row>
    <row r="31" spans="1:24" x14ac:dyDescent="0.2">
      <c r="A31" s="19">
        <v>13</v>
      </c>
      <c r="B31" s="7">
        <v>3.98</v>
      </c>
      <c r="C31" s="7">
        <v>49.37</v>
      </c>
      <c r="D31" s="11">
        <f>IF(LEFT(C31,1)="&lt;","&lt;",IF(AND(ISNUMBER('012-EFFLUENT'!B77),ISNUMBER(C77)),SUM(('012-EFFLUENT'!B77 *  C77) * 8.34),""))</f>
        <v>1638.7482839999998</v>
      </c>
      <c r="E31" s="7">
        <v>12</v>
      </c>
      <c r="F31" s="11">
        <f>IF(LEFT(E31,1)="&lt;","&lt;",IF(AND(ISNUMBER('012-EFFLUENT'!B77),ISNUMBER(E77)),SUM(('012-EFFLUENT'!B77 *  E77) * 8.34),""))</f>
        <v>398.3184</v>
      </c>
      <c r="G31" s="7">
        <v>0.28000000000000003</v>
      </c>
      <c r="H31" s="11">
        <f>IF(LEFT(G31,1)="&lt;","&lt;",IF(AND(ISNUMBER('012-EFFLUENT'!B77),ISNUMBER(G77)),SUM(('012-EFFLUENT'!B77 *  G77) * 8.34),""))</f>
        <v>9.2940959999999997</v>
      </c>
      <c r="I31" s="7">
        <v>0.03</v>
      </c>
      <c r="J31" s="11">
        <f>IF(LEFT(I31,1)="&lt;","&lt;",IF(AND(ISNUMBER('012-EFFLUENT'!B77),ISNUMBER(I77)),SUM(('012-EFFLUENT'!B77 *  I77) * 8.34),""))</f>
        <v>0.9957959999999999</v>
      </c>
      <c r="K31" s="7">
        <v>0</v>
      </c>
      <c r="L31" s="11">
        <f>IF(LEFT(K31,1)="&lt;","&lt;",IF(AND(ISNUMBER('012-EFFLUENT'!B77),ISNUMBER(K77)),SUM(('012-EFFLUENT'!B77 *  K77) * 8.34),""))</f>
        <v>0</v>
      </c>
      <c r="M31" s="7"/>
      <c r="N31" s="11" t="str">
        <f>IF(LEFT(M31,1)="&lt;","&lt;",IF(AND(ISNUMBER('012-EFFLUENT'!B77),ISNUMBER(M77)),SUM(('012-EFFLUENT'!B77 *  M77) * 8.34),""))</f>
        <v/>
      </c>
      <c r="O31" s="7"/>
      <c r="P31" s="11" t="str">
        <f>IF(LEFT(O31,1)="&lt;","&lt;",IF(AND(ISNUMBER('012-EFFLUENT'!B77),ISNUMBER(O77)),SUM(('012-EFFLUENT'!B77 *  O77) * 8.34),""))</f>
        <v/>
      </c>
      <c r="Q31" s="7">
        <v>67</v>
      </c>
      <c r="R31" s="7" t="s">
        <v>150</v>
      </c>
      <c r="S31" s="11" t="str">
        <f>IF(LEFT(R31,1)="&lt;","&lt;",IF(AND(ISNUMBER('012-EFFLUENT'!B77),ISNUMBER(R77)),SUM(('012-EFFLUENT'!B77 *  R77) * 8.34),""))</f>
        <v>&lt;</v>
      </c>
      <c r="T31" s="7"/>
      <c r="U31" s="7"/>
      <c r="V31" s="7">
        <v>7.3</v>
      </c>
      <c r="W31" s="7">
        <v>1</v>
      </c>
      <c r="X31" s="27">
        <v>1</v>
      </c>
    </row>
    <row r="32" spans="1:24" x14ac:dyDescent="0.2">
      <c r="A32" s="20">
        <v>14</v>
      </c>
      <c r="B32" s="12">
        <v>4.45</v>
      </c>
      <c r="C32" s="12">
        <v>28.46</v>
      </c>
      <c r="D32" s="14">
        <f>IF(LEFT(C32,1)="&lt;","&lt;",IF(AND(ISNUMBER('012-EFFLUENT'!B78),ISNUMBER(C78)),SUM(('012-EFFLUENT'!B78 *  C78) * 8.34),""))</f>
        <v>1056.2359799999999</v>
      </c>
      <c r="E32" s="12">
        <v>11</v>
      </c>
      <c r="F32" s="14">
        <f>IF(LEFT(E32,1)="&lt;","&lt;",IF(AND(ISNUMBER('012-EFFLUENT'!B78),ISNUMBER(E78)),SUM(('012-EFFLUENT'!B78 *  E78) * 8.34),""))</f>
        <v>408.24299999999999</v>
      </c>
      <c r="G32" s="12">
        <v>0.51</v>
      </c>
      <c r="H32" s="14">
        <f>IF(LEFT(G32,1)="&lt;","&lt;",IF(AND(ISNUMBER('012-EFFLUENT'!B78),ISNUMBER(G78)),SUM(('012-EFFLUENT'!B78 *  G78) * 8.34),""))</f>
        <v>18.927630000000001</v>
      </c>
      <c r="I32" s="12">
        <v>0.02</v>
      </c>
      <c r="J32" s="14">
        <f>IF(LEFT(I32,1)="&lt;","&lt;",IF(AND(ISNUMBER('012-EFFLUENT'!B78),ISNUMBER(I78)),SUM(('012-EFFLUENT'!B78 *  I78) * 8.34),""))</f>
        <v>0.74226000000000003</v>
      </c>
      <c r="K32" s="12">
        <v>0</v>
      </c>
      <c r="L32" s="14">
        <f>IF(LEFT(K32,1)="&lt;","&lt;",IF(AND(ISNUMBER('012-EFFLUENT'!B78),ISNUMBER(K78)),SUM(('012-EFFLUENT'!B78 *  K78) * 8.34),""))</f>
        <v>0</v>
      </c>
      <c r="M32" s="12"/>
      <c r="N32" s="14" t="str">
        <f>IF(LEFT(M32,1)="&lt;","&lt;",IF(AND(ISNUMBER('012-EFFLUENT'!B78),ISNUMBER(M78)),SUM(('012-EFFLUENT'!B78 *  M78) * 8.34),""))</f>
        <v/>
      </c>
      <c r="O32" s="12"/>
      <c r="P32" s="14" t="str">
        <f>IF(LEFT(O32,1)="&lt;","&lt;",IF(AND(ISNUMBER('012-EFFLUENT'!B78),ISNUMBER(O78)),SUM(('012-EFFLUENT'!B78 *  O78) * 8.34),""))</f>
        <v/>
      </c>
      <c r="Q32" s="12">
        <v>65</v>
      </c>
      <c r="R32" s="12" t="s">
        <v>150</v>
      </c>
      <c r="S32" s="14" t="str">
        <f>IF(LEFT(R32,1)="&lt;","&lt;",IF(AND(ISNUMBER('012-EFFLUENT'!B78),ISNUMBER(R78)),SUM(('012-EFFLUENT'!B78 *  R78) * 8.34),""))</f>
        <v>&lt;</v>
      </c>
      <c r="T32" s="12"/>
      <c r="U32" s="12"/>
      <c r="V32" s="12">
        <v>7</v>
      </c>
      <c r="W32" s="12"/>
      <c r="X32" s="25"/>
    </row>
    <row r="33" spans="1:24" x14ac:dyDescent="0.2">
      <c r="A33" s="19">
        <v>15</v>
      </c>
      <c r="B33" s="7">
        <v>4.09</v>
      </c>
      <c r="C33" s="7">
        <v>23.16</v>
      </c>
      <c r="D33" s="11">
        <f>IF(LEFT(C33,1)="&lt;","&lt;",IF(AND(ISNUMBER('012-EFFLUENT'!B79),ISNUMBER(C79)),SUM(('012-EFFLUENT'!B79 *  C79) * 8.34),""))</f>
        <v>790.00149599999997</v>
      </c>
      <c r="E33" s="7">
        <v>29</v>
      </c>
      <c r="F33" s="11">
        <f>IF(LEFT(E33,1)="&lt;","&lt;",IF(AND(ISNUMBER('012-EFFLUENT'!B79),ISNUMBER(E79)),SUM(('012-EFFLUENT'!B79 *  E79) * 8.34),""))</f>
        <v>989.20740000000001</v>
      </c>
      <c r="G33" s="7">
        <v>2.25</v>
      </c>
      <c r="H33" s="11">
        <f>IF(LEFT(G33,1)="&lt;","&lt;",IF(AND(ISNUMBER('012-EFFLUENT'!B79),ISNUMBER(G79)),SUM(('012-EFFLUENT'!B79 *  G79) * 8.34),""))</f>
        <v>76.748850000000004</v>
      </c>
      <c r="I33" s="7">
        <v>0.01</v>
      </c>
      <c r="J33" s="11">
        <f>IF(LEFT(I33,1)="&lt;","&lt;",IF(AND(ISNUMBER('012-EFFLUENT'!B79),ISNUMBER(I79)),SUM(('012-EFFLUENT'!B79 *  I79) * 8.34),""))</f>
        <v>0.34110599999999996</v>
      </c>
      <c r="K33" s="7">
        <v>0</v>
      </c>
      <c r="L33" s="11">
        <f>IF(LEFT(K33,1)="&lt;","&lt;",IF(AND(ISNUMBER('012-EFFLUENT'!B79),ISNUMBER(K79)),SUM(('012-EFFLUENT'!B79 *  K79) * 8.34),""))</f>
        <v>0</v>
      </c>
      <c r="M33" s="7">
        <v>5.85</v>
      </c>
      <c r="N33" s="11">
        <f>IF(LEFT(M33,1)="&lt;","&lt;",IF(AND(ISNUMBER('012-EFFLUENT'!B79),ISNUMBER(M79)),SUM(('012-EFFLUENT'!B79 *  M79) * 8.34),""))</f>
        <v>199.54700999999997</v>
      </c>
      <c r="O33" s="7">
        <v>0.49</v>
      </c>
      <c r="P33" s="11">
        <f>IF(LEFT(O33,1)="&lt;","&lt;",IF(AND(ISNUMBER('012-EFFLUENT'!B79),ISNUMBER(O79)),SUM(('012-EFFLUENT'!B79 *  O79) * 8.34),""))</f>
        <v>16.714193999999999</v>
      </c>
      <c r="Q33" s="7">
        <v>73</v>
      </c>
      <c r="R33" s="7" t="s">
        <v>150</v>
      </c>
      <c r="S33" s="11" t="str">
        <f>IF(LEFT(R33,1)="&lt;","&lt;",IF(AND(ISNUMBER('012-EFFLUENT'!B79),ISNUMBER(R79)),SUM(('012-EFFLUENT'!B79 *  R79) * 8.34),""))</f>
        <v>&lt;</v>
      </c>
      <c r="T33" s="7"/>
      <c r="U33" s="7"/>
      <c r="V33" s="7">
        <v>7</v>
      </c>
      <c r="W33" s="7"/>
      <c r="X33" s="27"/>
    </row>
    <row r="34" spans="1:24" x14ac:dyDescent="0.2">
      <c r="A34" s="19">
        <v>16</v>
      </c>
      <c r="B34" s="7">
        <v>4.0999999999999996</v>
      </c>
      <c r="C34" s="7">
        <v>12.59</v>
      </c>
      <c r="D34" s="11">
        <f>IF(LEFT(C34,1)="&lt;","&lt;",IF(AND(ISNUMBER('012-EFFLUENT'!B80),ISNUMBER(C80)),SUM(('012-EFFLUENT'!B80 *  C80) * 8.34),""))</f>
        <v>430.50245999999993</v>
      </c>
      <c r="E34" s="7">
        <v>13</v>
      </c>
      <c r="F34" s="11">
        <f>IF(LEFT(E34,1)="&lt;","&lt;",IF(AND(ISNUMBER('012-EFFLUENT'!B80),ISNUMBER(E80)),SUM(('012-EFFLUENT'!B80 *  E80) * 8.34),""))</f>
        <v>444.52199999999999</v>
      </c>
      <c r="G34" s="7">
        <v>0.97</v>
      </c>
      <c r="H34" s="11">
        <f>IF(LEFT(G34,1)="&lt;","&lt;",IF(AND(ISNUMBER('012-EFFLUENT'!B80),ISNUMBER(G80)),SUM(('012-EFFLUENT'!B80 *  G80) * 8.34),""))</f>
        <v>33.168179999999992</v>
      </c>
      <c r="I34" s="7">
        <v>0.02</v>
      </c>
      <c r="J34" s="11">
        <f>IF(LEFT(I34,1)="&lt;","&lt;",IF(AND(ISNUMBER('012-EFFLUENT'!B80),ISNUMBER(I80)),SUM(('012-EFFLUENT'!B80 *  I80) * 8.34),""))</f>
        <v>0.68387999999999993</v>
      </c>
      <c r="K34" s="7">
        <v>0</v>
      </c>
      <c r="L34" s="11">
        <f>IF(LEFT(K34,1)="&lt;","&lt;",IF(AND(ISNUMBER('012-EFFLUENT'!B80),ISNUMBER(K80)),SUM(('012-EFFLUENT'!B80 *  K80) * 8.34),""))</f>
        <v>0</v>
      </c>
      <c r="M34" s="7"/>
      <c r="N34" s="11" t="str">
        <f>IF(LEFT(M34,1)="&lt;","&lt;",IF(AND(ISNUMBER('012-EFFLUENT'!B80),ISNUMBER(M80)),SUM(('012-EFFLUENT'!B80 *  M80) * 8.34),""))</f>
        <v/>
      </c>
      <c r="O34" s="7"/>
      <c r="P34" s="11" t="str">
        <f>IF(LEFT(O34,1)="&lt;","&lt;",IF(AND(ISNUMBER('012-EFFLUENT'!B80),ISNUMBER(O80)),SUM(('012-EFFLUENT'!B80 *  O80) * 8.34),""))</f>
        <v/>
      </c>
      <c r="Q34" s="7">
        <v>74</v>
      </c>
      <c r="R34" s="7" t="s">
        <v>150</v>
      </c>
      <c r="S34" s="11" t="str">
        <f>IF(LEFT(R34,1)="&lt;","&lt;",IF(AND(ISNUMBER('012-EFFLUENT'!B80),ISNUMBER(R80)),SUM(('012-EFFLUENT'!B80 *  R80) * 8.34),""))</f>
        <v>&lt;</v>
      </c>
      <c r="T34" s="7"/>
      <c r="U34" s="7"/>
      <c r="V34" s="7">
        <v>7.2</v>
      </c>
      <c r="W34" s="7"/>
      <c r="X34" s="27"/>
    </row>
    <row r="35" spans="1:24" x14ac:dyDescent="0.2">
      <c r="A35" s="19">
        <v>17</v>
      </c>
      <c r="B35" s="7">
        <v>4.4000000000000004</v>
      </c>
      <c r="C35" s="7">
        <v>14.06</v>
      </c>
      <c r="D35" s="11">
        <f>IF(LEFT(C35,1)="&lt;","&lt;",IF(AND(ISNUMBER('012-EFFLUENT'!B81),ISNUMBER(C81)),SUM(('012-EFFLUENT'!B81 *  C81) * 8.34),""))</f>
        <v>515.94576000000006</v>
      </c>
      <c r="E35" s="7">
        <v>21</v>
      </c>
      <c r="F35" s="11">
        <f>IF(LEFT(E35,1)="&lt;","&lt;",IF(AND(ISNUMBER('012-EFFLUENT'!B81),ISNUMBER(E81)),SUM(('012-EFFLUENT'!B81 *  E81) * 8.34),""))</f>
        <v>770.61599999999999</v>
      </c>
      <c r="G35" s="7">
        <v>1.7</v>
      </c>
      <c r="H35" s="11">
        <f>IF(LEFT(G35,1)="&lt;","&lt;",IF(AND(ISNUMBER('012-EFFLUENT'!B81),ISNUMBER(G81)),SUM(('012-EFFLUENT'!B81 *  G81) * 8.34),""))</f>
        <v>62.383200000000002</v>
      </c>
      <c r="I35" s="7">
        <v>0.03</v>
      </c>
      <c r="J35" s="11">
        <f>IF(LEFT(I35,1)="&lt;","&lt;",IF(AND(ISNUMBER('012-EFFLUENT'!B81),ISNUMBER(I81)),SUM(('012-EFFLUENT'!B81 *  I81) * 8.34),""))</f>
        <v>1.1008800000000001</v>
      </c>
      <c r="K35" s="7">
        <v>0</v>
      </c>
      <c r="L35" s="11">
        <f>IF(LEFT(K35,1)="&lt;","&lt;",IF(AND(ISNUMBER('012-EFFLUENT'!B81),ISNUMBER(K81)),SUM(('012-EFFLUENT'!B81 *  K81) * 8.34),""))</f>
        <v>0</v>
      </c>
      <c r="M35" s="7"/>
      <c r="N35" s="11" t="str">
        <f>IF(LEFT(M35,1)="&lt;","&lt;",IF(AND(ISNUMBER('012-EFFLUENT'!B81),ISNUMBER(M81)),SUM(('012-EFFLUENT'!B81 *  M81) * 8.34),""))</f>
        <v/>
      </c>
      <c r="O35" s="7"/>
      <c r="P35" s="11" t="str">
        <f>IF(LEFT(O35,1)="&lt;","&lt;",IF(AND(ISNUMBER('012-EFFLUENT'!B81),ISNUMBER(O81)),SUM(('012-EFFLUENT'!B81 *  O81) * 8.34),""))</f>
        <v/>
      </c>
      <c r="Q35" s="7">
        <v>72</v>
      </c>
      <c r="R35" s="7" t="s">
        <v>150</v>
      </c>
      <c r="S35" s="11" t="str">
        <f>IF(LEFT(R35,1)="&lt;","&lt;",IF(AND(ISNUMBER('012-EFFLUENT'!B81),ISNUMBER(R81)),SUM(('012-EFFLUENT'!B81 *  R81) * 8.34),""))</f>
        <v>&lt;</v>
      </c>
      <c r="T35" s="7"/>
      <c r="U35" s="7"/>
      <c r="V35" s="7">
        <v>7.4</v>
      </c>
      <c r="W35" s="7"/>
      <c r="X35" s="27"/>
    </row>
    <row r="36" spans="1:24" x14ac:dyDescent="0.2">
      <c r="A36" s="19">
        <v>18</v>
      </c>
      <c r="B36" s="7">
        <v>4.9800000000000004</v>
      </c>
      <c r="C36" s="7">
        <v>27.23</v>
      </c>
      <c r="D36" s="11">
        <f>IF(LEFT(C36,1)="&lt;","&lt;",IF(AND(ISNUMBER('012-EFFLUENT'!B82),ISNUMBER(C82)),SUM(('012-EFFLUENT'!B82 *  C82) * 8.34),""))</f>
        <v>1130.949036</v>
      </c>
      <c r="E36" s="7">
        <v>44</v>
      </c>
      <c r="F36" s="11">
        <f>IF(LEFT(E36,1)="&lt;","&lt;",IF(AND(ISNUMBER('012-EFFLUENT'!B82),ISNUMBER(E82)),SUM(('012-EFFLUENT'!B82 *  E82) * 8.34),""))</f>
        <v>1827.4608000000001</v>
      </c>
      <c r="G36" s="7">
        <v>1.84</v>
      </c>
      <c r="H36" s="11">
        <f>IF(LEFT(G36,1)="&lt;","&lt;",IF(AND(ISNUMBER('012-EFFLUENT'!B82),ISNUMBER(G82)),SUM(('012-EFFLUENT'!B82 *  G82) * 8.34),""))</f>
        <v>76.421088000000012</v>
      </c>
      <c r="I36" s="7">
        <v>0.05</v>
      </c>
      <c r="J36" s="11">
        <f>IF(LEFT(I36,1)="&lt;","&lt;",IF(AND(ISNUMBER('012-EFFLUENT'!B82),ISNUMBER(I82)),SUM(('012-EFFLUENT'!B82 *  I82) * 8.34),""))</f>
        <v>2.0766600000000004</v>
      </c>
      <c r="K36" s="7">
        <v>0</v>
      </c>
      <c r="L36" s="11">
        <f>IF(LEFT(K36,1)="&lt;","&lt;",IF(AND(ISNUMBER('012-EFFLUENT'!B82),ISNUMBER(K82)),SUM(('012-EFFLUENT'!B82 *  K82) * 8.34),""))</f>
        <v>0</v>
      </c>
      <c r="M36" s="7"/>
      <c r="N36" s="11" t="str">
        <f>IF(LEFT(M36,1)="&lt;","&lt;",IF(AND(ISNUMBER('012-EFFLUENT'!B82),ISNUMBER(M82)),SUM(('012-EFFLUENT'!B82 *  M82) * 8.34),""))</f>
        <v/>
      </c>
      <c r="O36" s="7"/>
      <c r="P36" s="11" t="str">
        <f>IF(LEFT(O36,1)="&lt;","&lt;",IF(AND(ISNUMBER('012-EFFLUENT'!B82),ISNUMBER(O82)),SUM(('012-EFFLUENT'!B82 *  O82) * 8.34),""))</f>
        <v/>
      </c>
      <c r="Q36" s="7">
        <v>71</v>
      </c>
      <c r="R36" s="7" t="s">
        <v>150</v>
      </c>
      <c r="S36" s="11" t="str">
        <f>IF(LEFT(R36,1)="&lt;","&lt;",IF(AND(ISNUMBER('012-EFFLUENT'!B82),ISNUMBER(R82)),SUM(('012-EFFLUENT'!B82 *  R82) * 8.34),""))</f>
        <v>&lt;</v>
      </c>
      <c r="T36" s="7"/>
      <c r="U36" s="7"/>
      <c r="V36" s="7">
        <v>7.1</v>
      </c>
      <c r="W36" s="7"/>
      <c r="X36" s="27"/>
    </row>
    <row r="37" spans="1:24" x14ac:dyDescent="0.2">
      <c r="A37" s="19">
        <v>19</v>
      </c>
      <c r="B37" s="7">
        <v>4.84</v>
      </c>
      <c r="C37" s="7">
        <v>25.1</v>
      </c>
      <c r="D37" s="11">
        <f>IF(LEFT(C37,1)="&lt;","&lt;",IF(AND(ISNUMBER('012-EFFLUENT'!B83),ISNUMBER(C83)),SUM(('012-EFFLUENT'!B83 *  C83) * 8.34),""))</f>
        <v>1013.1765600000001</v>
      </c>
      <c r="E37" s="7">
        <v>35</v>
      </c>
      <c r="F37" s="11">
        <f>IF(LEFT(E37,1)="&lt;","&lt;",IF(AND(ISNUMBER('012-EFFLUENT'!B83),ISNUMBER(E83)),SUM(('012-EFFLUENT'!B83 *  E83) * 8.34),""))</f>
        <v>1412.796</v>
      </c>
      <c r="G37" s="7">
        <v>3.34</v>
      </c>
      <c r="H37" s="11">
        <f>IF(LEFT(G37,1)="&lt;","&lt;",IF(AND(ISNUMBER('012-EFFLUENT'!B83),ISNUMBER(G83)),SUM(('012-EFFLUENT'!B83 *  G83) * 8.34),""))</f>
        <v>134.82110399999999</v>
      </c>
      <c r="I37" s="7">
        <v>0.02</v>
      </c>
      <c r="J37" s="11">
        <f>IF(LEFT(I37,1)="&lt;","&lt;",IF(AND(ISNUMBER('012-EFFLUENT'!B83),ISNUMBER(I83)),SUM(('012-EFFLUENT'!B83 *  I83) * 8.34),""))</f>
        <v>0.80731199999999992</v>
      </c>
      <c r="K37" s="7">
        <v>0</v>
      </c>
      <c r="L37" s="11">
        <f>IF(LEFT(K37,1)="&lt;","&lt;",IF(AND(ISNUMBER('012-EFFLUENT'!B83),ISNUMBER(K83)),SUM(('012-EFFLUENT'!B83 *  K83) * 8.34),""))</f>
        <v>0</v>
      </c>
      <c r="M37" s="7"/>
      <c r="N37" s="11" t="str">
        <f>IF(LEFT(M37,1)="&lt;","&lt;",IF(AND(ISNUMBER('012-EFFLUENT'!B83),ISNUMBER(M83)),SUM(('012-EFFLUENT'!B83 *  M83) * 8.34),""))</f>
        <v/>
      </c>
      <c r="O37" s="7"/>
      <c r="P37" s="11" t="str">
        <f>IF(LEFT(O37,1)="&lt;","&lt;",IF(AND(ISNUMBER('012-EFFLUENT'!B83),ISNUMBER(O83)),SUM(('012-EFFLUENT'!B83 *  O83) * 8.34),""))</f>
        <v/>
      </c>
      <c r="Q37" s="7">
        <v>79</v>
      </c>
      <c r="R37" s="7" t="s">
        <v>150</v>
      </c>
      <c r="S37" s="11" t="str">
        <f>IF(LEFT(R37,1)="&lt;","&lt;",IF(AND(ISNUMBER('012-EFFLUENT'!B83),ISNUMBER(R83)),SUM(('012-EFFLUENT'!B83 *  R83) * 8.34),""))</f>
        <v>&lt;</v>
      </c>
      <c r="T37" s="7"/>
      <c r="U37" s="7"/>
      <c r="V37" s="7">
        <v>7</v>
      </c>
      <c r="W37" s="7"/>
      <c r="X37" s="27"/>
    </row>
    <row r="38" spans="1:24" x14ac:dyDescent="0.2">
      <c r="A38" s="19">
        <v>20</v>
      </c>
      <c r="B38" s="7">
        <v>3.92</v>
      </c>
      <c r="C38" s="7">
        <v>24.68</v>
      </c>
      <c r="D38" s="11">
        <f>IF(LEFT(C38,1)="&lt;","&lt;",IF(AND(ISNUMBER('012-EFFLUENT'!B84),ISNUMBER(C84)),SUM(('012-EFFLUENT'!B84 *  C84) * 8.34),""))</f>
        <v>806.85830399999998</v>
      </c>
      <c r="E38" s="7">
        <v>57</v>
      </c>
      <c r="F38" s="11">
        <f>IF(LEFT(E38,1)="&lt;","&lt;",IF(AND(ISNUMBER('012-EFFLUENT'!B84),ISNUMBER(E84)),SUM(('012-EFFLUENT'!B84 *  E84) * 8.34),""))</f>
        <v>1863.4895999999999</v>
      </c>
      <c r="G38" s="7">
        <v>1.63</v>
      </c>
      <c r="H38" s="11">
        <f>IF(LEFT(G38,1)="&lt;","&lt;",IF(AND(ISNUMBER('012-EFFLUENT'!B84),ISNUMBER(G84)),SUM(('012-EFFLUENT'!B84 *  G84) * 8.34),""))</f>
        <v>53.289263999999996</v>
      </c>
      <c r="I38" s="7">
        <v>0.06</v>
      </c>
      <c r="J38" s="11">
        <f>IF(LEFT(I38,1)="&lt;","&lt;",IF(AND(ISNUMBER('012-EFFLUENT'!B84),ISNUMBER(I84)),SUM(('012-EFFLUENT'!B84 *  I84) * 8.34),""))</f>
        <v>1.961568</v>
      </c>
      <c r="K38" s="7">
        <v>0</v>
      </c>
      <c r="L38" s="11">
        <f>IF(LEFT(K38,1)="&lt;","&lt;",IF(AND(ISNUMBER('012-EFFLUENT'!B84),ISNUMBER(K84)),SUM(('012-EFFLUENT'!B84 *  K84) * 8.34),""))</f>
        <v>0</v>
      </c>
      <c r="M38" s="7"/>
      <c r="N38" s="11" t="str">
        <f>IF(LEFT(M38,1)="&lt;","&lt;",IF(AND(ISNUMBER('012-EFFLUENT'!B84),ISNUMBER(M84)),SUM(('012-EFFLUENT'!B84 *  M84) * 8.34),""))</f>
        <v/>
      </c>
      <c r="O38" s="7"/>
      <c r="P38" s="11" t="str">
        <f>IF(LEFT(O38,1)="&lt;","&lt;",IF(AND(ISNUMBER('012-EFFLUENT'!B84),ISNUMBER(O84)),SUM(('012-EFFLUENT'!B84 *  O84) * 8.34),""))</f>
        <v/>
      </c>
      <c r="Q38" s="7">
        <v>78</v>
      </c>
      <c r="R38" s="7" t="s">
        <v>150</v>
      </c>
      <c r="S38" s="11" t="str">
        <f>IF(LEFT(R38,1)="&lt;","&lt;",IF(AND(ISNUMBER('012-EFFLUENT'!B84),ISNUMBER(R84)),SUM(('012-EFFLUENT'!B84 *  R84) * 8.34),""))</f>
        <v>&lt;</v>
      </c>
      <c r="T38" s="7"/>
      <c r="U38" s="7"/>
      <c r="V38" s="7">
        <v>7.1</v>
      </c>
      <c r="W38" s="7"/>
      <c r="X38" s="27"/>
    </row>
    <row r="39" spans="1:24" x14ac:dyDescent="0.2">
      <c r="A39" s="20">
        <v>21</v>
      </c>
      <c r="B39" s="12">
        <v>4.04</v>
      </c>
      <c r="C39" s="12">
        <v>65.52</v>
      </c>
      <c r="D39" s="14">
        <f>IF(LEFT(C39,1)="&lt;","&lt;",IF(AND(ISNUMBER('012-EFFLUENT'!B85),ISNUMBER(C85)),SUM(('012-EFFLUENT'!B85 *  C85) * 8.34),""))</f>
        <v>2207.6046719999995</v>
      </c>
      <c r="E39" s="12">
        <v>48</v>
      </c>
      <c r="F39" s="14">
        <f>IF(LEFT(E39,1)="&lt;","&lt;",IF(AND(ISNUMBER('012-EFFLUENT'!B85),ISNUMBER(E85)),SUM(('012-EFFLUENT'!B85 *  E85) * 8.34),""))</f>
        <v>1617.2928000000002</v>
      </c>
      <c r="G39" s="12">
        <v>1.0900000000000001</v>
      </c>
      <c r="H39" s="14">
        <f>IF(LEFT(G39,1)="&lt;","&lt;",IF(AND(ISNUMBER('012-EFFLUENT'!B85),ISNUMBER(G85)),SUM(('012-EFFLUENT'!B85 *  G85) * 8.34),""))</f>
        <v>36.726024000000002</v>
      </c>
      <c r="I39" s="12">
        <v>0.04</v>
      </c>
      <c r="J39" s="14">
        <f>IF(LEFT(I39,1)="&lt;","&lt;",IF(AND(ISNUMBER('012-EFFLUENT'!B85),ISNUMBER(I85)),SUM(('012-EFFLUENT'!B85 *  I85) * 8.34),""))</f>
        <v>1.3477439999999998</v>
      </c>
      <c r="K39" s="12">
        <v>0</v>
      </c>
      <c r="L39" s="14">
        <f>IF(LEFT(K39,1)="&lt;","&lt;",IF(AND(ISNUMBER('012-EFFLUENT'!B85),ISNUMBER(K85)),SUM(('012-EFFLUENT'!B85 *  K85) * 8.34),""))</f>
        <v>0</v>
      </c>
      <c r="M39" s="12"/>
      <c r="N39" s="14" t="str">
        <f>IF(LEFT(M39,1)="&lt;","&lt;",IF(AND(ISNUMBER('012-EFFLUENT'!B85),ISNUMBER(M85)),SUM(('012-EFFLUENT'!B85 *  M85) * 8.34),""))</f>
        <v/>
      </c>
      <c r="O39" s="12"/>
      <c r="P39" s="14" t="str">
        <f>IF(LEFT(O39,1)="&lt;","&lt;",IF(AND(ISNUMBER('012-EFFLUENT'!B85),ISNUMBER(O85)),SUM(('012-EFFLUENT'!B85 *  O85) * 8.34),""))</f>
        <v/>
      </c>
      <c r="Q39" s="12">
        <v>77</v>
      </c>
      <c r="R39" s="12" t="s">
        <v>150</v>
      </c>
      <c r="S39" s="14" t="str">
        <f>IF(LEFT(R39,1)="&lt;","&lt;",IF(AND(ISNUMBER('012-EFFLUENT'!B85),ISNUMBER(R85)),SUM(('012-EFFLUENT'!B85 *  R85) * 8.34),""))</f>
        <v>&lt;</v>
      </c>
      <c r="T39" s="12"/>
      <c r="U39" s="12"/>
      <c r="V39" s="12">
        <v>7.2</v>
      </c>
      <c r="W39" s="12"/>
      <c r="X39" s="25"/>
    </row>
    <row r="40" spans="1:24" x14ac:dyDescent="0.2">
      <c r="A40" s="19">
        <v>22</v>
      </c>
      <c r="B40" s="7">
        <v>3.75</v>
      </c>
      <c r="C40" s="7">
        <v>21.04</v>
      </c>
      <c r="D40" s="11">
        <f>IF(LEFT(C40,1)="&lt;","&lt;",IF(AND(ISNUMBER('012-EFFLUENT'!B86),ISNUMBER(C86)),SUM(('012-EFFLUENT'!B86 *  C86) * 8.34),""))</f>
        <v>658.02599999999995</v>
      </c>
      <c r="E40" s="7">
        <v>44</v>
      </c>
      <c r="F40" s="11">
        <f>IF(LEFT(E40,1)="&lt;","&lt;",IF(AND(ISNUMBER('012-EFFLUENT'!B86),ISNUMBER(E86)),SUM(('012-EFFLUENT'!B86 *  E86) * 8.34),""))</f>
        <v>1376.1</v>
      </c>
      <c r="G40" s="7">
        <v>117.5</v>
      </c>
      <c r="H40" s="11">
        <f>IF(LEFT(G40,1)="&lt;","&lt;",IF(AND(ISNUMBER('012-EFFLUENT'!B86),ISNUMBER(G86)),SUM(('012-EFFLUENT'!B86 *  G86) * 8.34),""))</f>
        <v>3674.8125</v>
      </c>
      <c r="I40" s="7">
        <v>0.02</v>
      </c>
      <c r="J40" s="11">
        <f>IF(LEFT(I40,1)="&lt;","&lt;",IF(AND(ISNUMBER('012-EFFLUENT'!B86),ISNUMBER(I86)),SUM(('012-EFFLUENT'!B86 *  I86) * 8.34),""))</f>
        <v>0.62549999999999994</v>
      </c>
      <c r="K40" s="7">
        <v>0</v>
      </c>
      <c r="L40" s="11">
        <f>IF(LEFT(K40,1)="&lt;","&lt;",IF(AND(ISNUMBER('012-EFFLUENT'!B86),ISNUMBER(K86)),SUM(('012-EFFLUENT'!B86 *  K86) * 8.34),""))</f>
        <v>0</v>
      </c>
      <c r="M40" s="7">
        <v>59.25</v>
      </c>
      <c r="N40" s="11">
        <f>IF(LEFT(M40,1)="&lt;","&lt;",IF(AND(ISNUMBER('012-EFFLUENT'!B86),ISNUMBER(M86)),SUM(('012-EFFLUENT'!B86 *  M86) * 8.34),""))</f>
        <v>1853.04375</v>
      </c>
      <c r="O40" s="7">
        <v>4.5</v>
      </c>
      <c r="P40" s="11">
        <f>IF(LEFT(O40,1)="&lt;","&lt;",IF(AND(ISNUMBER('012-EFFLUENT'!B86),ISNUMBER(O86)),SUM(('012-EFFLUENT'!B86 *  O86) * 8.34),""))</f>
        <v>140.73750000000001</v>
      </c>
      <c r="Q40" s="7">
        <v>79</v>
      </c>
      <c r="R40" s="7" t="s">
        <v>150</v>
      </c>
      <c r="S40" s="11" t="str">
        <f>IF(LEFT(R40,1)="&lt;","&lt;",IF(AND(ISNUMBER('012-EFFLUENT'!B86),ISNUMBER(R86)),SUM(('012-EFFLUENT'!B86 *  R86) * 8.34),""))</f>
        <v>&lt;</v>
      </c>
      <c r="T40" s="7"/>
      <c r="U40" s="7"/>
      <c r="V40" s="7">
        <v>7.1</v>
      </c>
      <c r="W40" s="7"/>
      <c r="X40" s="27"/>
    </row>
    <row r="41" spans="1:24" x14ac:dyDescent="0.2">
      <c r="A41" s="19">
        <v>23</v>
      </c>
      <c r="B41" s="7">
        <v>4.1100000000000003</v>
      </c>
      <c r="C41" s="7">
        <v>38.97</v>
      </c>
      <c r="D41" s="11">
        <f>IF(LEFT(C41,1)="&lt;","&lt;",IF(AND(ISNUMBER('012-EFFLUENT'!B87),ISNUMBER(C87)),SUM(('012-EFFLUENT'!B87 *  C87) * 8.34),""))</f>
        <v>1335.7902780000002</v>
      </c>
      <c r="E41" s="7">
        <v>40</v>
      </c>
      <c r="F41" s="11">
        <f>IF(LEFT(E41,1)="&lt;","&lt;",IF(AND(ISNUMBER('012-EFFLUENT'!B87),ISNUMBER(E87)),SUM(('012-EFFLUENT'!B87 *  E87) * 8.34),""))</f>
        <v>1371.096</v>
      </c>
      <c r="G41" s="7">
        <v>0.92</v>
      </c>
      <c r="H41" s="11">
        <f>IF(LEFT(G41,1)="&lt;","&lt;",IF(AND(ISNUMBER('012-EFFLUENT'!B87),ISNUMBER(G87)),SUM(('012-EFFLUENT'!B87 *  G87) * 8.34),""))</f>
        <v>31.535208000000004</v>
      </c>
      <c r="I41" s="7">
        <v>0.01</v>
      </c>
      <c r="J41" s="11">
        <f>IF(LEFT(I41,1)="&lt;","&lt;",IF(AND(ISNUMBER('012-EFFLUENT'!B87),ISNUMBER(I87)),SUM(('012-EFFLUENT'!B87 *  I87) * 8.34),""))</f>
        <v>0.34277400000000002</v>
      </c>
      <c r="K41" s="7">
        <v>0</v>
      </c>
      <c r="L41" s="11">
        <f>IF(LEFT(K41,1)="&lt;","&lt;",IF(AND(ISNUMBER('012-EFFLUENT'!B87),ISNUMBER(K87)),SUM(('012-EFFLUENT'!B87 *  K87) * 8.34),""))</f>
        <v>0</v>
      </c>
      <c r="M41" s="7"/>
      <c r="N41" s="11" t="str">
        <f>IF(LEFT(M41,1)="&lt;","&lt;",IF(AND(ISNUMBER('012-EFFLUENT'!B87),ISNUMBER(M87)),SUM(('012-EFFLUENT'!B87 *  M87) * 8.34),""))</f>
        <v/>
      </c>
      <c r="O41" s="7"/>
      <c r="P41" s="11" t="str">
        <f>IF(LEFT(O41,1)="&lt;","&lt;",IF(AND(ISNUMBER('012-EFFLUENT'!B87),ISNUMBER(O87)),SUM(('012-EFFLUENT'!B87 *  O87) * 8.34),""))</f>
        <v/>
      </c>
      <c r="Q41" s="7">
        <v>82</v>
      </c>
      <c r="R41" s="7" t="s">
        <v>150</v>
      </c>
      <c r="S41" s="11" t="str">
        <f>IF(LEFT(R41,1)="&lt;","&lt;",IF(AND(ISNUMBER('012-EFFLUENT'!B87),ISNUMBER(R87)),SUM(('012-EFFLUENT'!B87 *  R87) * 8.34),""))</f>
        <v>&lt;</v>
      </c>
      <c r="T41" s="7"/>
      <c r="U41" s="7"/>
      <c r="V41" s="7">
        <v>7.1</v>
      </c>
      <c r="W41" s="7"/>
      <c r="X41" s="27"/>
    </row>
    <row r="42" spans="1:24" x14ac:dyDescent="0.2">
      <c r="A42" s="19">
        <v>24</v>
      </c>
      <c r="B42" s="7">
        <v>2.52</v>
      </c>
      <c r="C42" s="7">
        <v>35.56</v>
      </c>
      <c r="D42" s="11">
        <f>IF(LEFT(C42,1)="&lt;","&lt;",IF(AND(ISNUMBER('012-EFFLUENT'!B88),ISNUMBER(C88)),SUM(('012-EFFLUENT'!B88 *  C88) * 8.34),""))</f>
        <v>747.35740800000008</v>
      </c>
      <c r="E42" s="7">
        <v>50</v>
      </c>
      <c r="F42" s="11">
        <f>IF(LEFT(E42,1)="&lt;","&lt;",IF(AND(ISNUMBER('012-EFFLUENT'!B88),ISNUMBER(E88)),SUM(('012-EFFLUENT'!B88 *  E88) * 8.34),""))</f>
        <v>1050.8399999999999</v>
      </c>
      <c r="G42" s="7">
        <v>0.46</v>
      </c>
      <c r="H42" s="11">
        <f>IF(LEFT(G42,1)="&lt;","&lt;",IF(AND(ISNUMBER('012-EFFLUENT'!B88),ISNUMBER(G88)),SUM(('012-EFFLUENT'!B88 *  G88) * 8.34),""))</f>
        <v>9.6677280000000003</v>
      </c>
      <c r="I42" s="7">
        <v>0.05</v>
      </c>
      <c r="J42" s="11">
        <f>IF(LEFT(I42,1)="&lt;","&lt;",IF(AND(ISNUMBER('012-EFFLUENT'!B88),ISNUMBER(I88)),SUM(('012-EFFLUENT'!B88 *  I88) * 8.34),""))</f>
        <v>1.05084</v>
      </c>
      <c r="K42" s="7">
        <v>0</v>
      </c>
      <c r="L42" s="11">
        <f>IF(LEFT(K42,1)="&lt;","&lt;",IF(AND(ISNUMBER('012-EFFLUENT'!B88),ISNUMBER(K88)),SUM(('012-EFFLUENT'!B88 *  K88) * 8.34),""))</f>
        <v>0</v>
      </c>
      <c r="M42" s="7"/>
      <c r="N42" s="11" t="str">
        <f>IF(LEFT(M42,1)="&lt;","&lt;",IF(AND(ISNUMBER('012-EFFLUENT'!B88),ISNUMBER(M88)),SUM(('012-EFFLUENT'!B88 *  M88) * 8.34),""))</f>
        <v/>
      </c>
      <c r="O42" s="7"/>
      <c r="P42" s="11" t="str">
        <f>IF(LEFT(O42,1)="&lt;","&lt;",IF(AND(ISNUMBER('012-EFFLUENT'!B88),ISNUMBER(O88)),SUM(('012-EFFLUENT'!B88 *  O88) * 8.34),""))</f>
        <v/>
      </c>
      <c r="Q42" s="7">
        <v>80</v>
      </c>
      <c r="R42" s="7" t="s">
        <v>150</v>
      </c>
      <c r="S42" s="11" t="str">
        <f>IF(LEFT(R42,1)="&lt;","&lt;",IF(AND(ISNUMBER('012-EFFLUENT'!B88),ISNUMBER(R88)),SUM(('012-EFFLUENT'!B88 *  R88) * 8.34),""))</f>
        <v>&lt;</v>
      </c>
      <c r="T42" s="7"/>
      <c r="U42" s="7"/>
      <c r="V42" s="7">
        <v>7.3</v>
      </c>
      <c r="W42" s="7"/>
      <c r="X42" s="27"/>
    </row>
    <row r="43" spans="1:24" x14ac:dyDescent="0.2">
      <c r="A43" s="19">
        <v>25</v>
      </c>
      <c r="B43" s="7">
        <v>3.21</v>
      </c>
      <c r="C43" s="7">
        <v>523</v>
      </c>
      <c r="D43" s="11">
        <f>IF(LEFT(C43,1)="&lt;","&lt;",IF(AND(ISNUMBER('012-EFFLUENT'!B89),ISNUMBER(C89)),SUM(('012-EFFLUENT'!B89 *  C89) * 8.34),""))</f>
        <v>14001.4422</v>
      </c>
      <c r="E43" s="7">
        <v>42</v>
      </c>
      <c r="F43" s="11">
        <f>IF(LEFT(E43,1)="&lt;","&lt;",IF(AND(ISNUMBER('012-EFFLUENT'!B89),ISNUMBER(E89)),SUM(('012-EFFLUENT'!B89 *  E89) * 8.34),""))</f>
        <v>1124.3987999999999</v>
      </c>
      <c r="G43" s="7">
        <v>0.99</v>
      </c>
      <c r="H43" s="11">
        <f>IF(LEFT(G43,1)="&lt;","&lt;",IF(AND(ISNUMBER('012-EFFLUENT'!B89),ISNUMBER(G89)),SUM(('012-EFFLUENT'!B89 *  G89) * 8.34),""))</f>
        <v>26.503685999999998</v>
      </c>
      <c r="I43" s="7">
        <v>7.0000000000000007E-2</v>
      </c>
      <c r="J43" s="11">
        <f>IF(LEFT(I43,1)="&lt;","&lt;",IF(AND(ISNUMBER('012-EFFLUENT'!B89),ISNUMBER(I89)),SUM(('012-EFFLUENT'!B89 *  I89) * 8.34),""))</f>
        <v>1.8739980000000001</v>
      </c>
      <c r="K43" s="7">
        <v>0</v>
      </c>
      <c r="L43" s="11">
        <f>IF(LEFT(K43,1)="&lt;","&lt;",IF(AND(ISNUMBER('012-EFFLUENT'!B89),ISNUMBER(K89)),SUM(('012-EFFLUENT'!B89 *  K89) * 8.34),""))</f>
        <v>0</v>
      </c>
      <c r="M43" s="7"/>
      <c r="N43" s="11" t="str">
        <f>IF(LEFT(M43,1)="&lt;","&lt;",IF(AND(ISNUMBER('012-EFFLUENT'!B89),ISNUMBER(M89)),SUM(('012-EFFLUENT'!B89 *  M89) * 8.34),""))</f>
        <v/>
      </c>
      <c r="O43" s="7"/>
      <c r="P43" s="11" t="str">
        <f>IF(LEFT(O43,1)="&lt;","&lt;",IF(AND(ISNUMBER('012-EFFLUENT'!B89),ISNUMBER(O89)),SUM(('012-EFFLUENT'!B89 *  O89) * 8.34),""))</f>
        <v/>
      </c>
      <c r="Q43" s="7">
        <v>8</v>
      </c>
      <c r="R43" s="7" t="s">
        <v>150</v>
      </c>
      <c r="S43" s="11" t="str">
        <f>IF(LEFT(R43,1)="&lt;","&lt;",IF(AND(ISNUMBER('012-EFFLUENT'!B89),ISNUMBER(R89)),SUM(('012-EFFLUENT'!B89 *  R89) * 8.34),""))</f>
        <v>&lt;</v>
      </c>
      <c r="T43" s="7"/>
      <c r="U43" s="7"/>
      <c r="V43" s="7">
        <v>7</v>
      </c>
      <c r="W43" s="7"/>
      <c r="X43" s="27"/>
    </row>
    <row r="44" spans="1:24" x14ac:dyDescent="0.2">
      <c r="A44" s="19">
        <v>26</v>
      </c>
      <c r="B44" s="7">
        <v>3.26</v>
      </c>
      <c r="C44" s="7">
        <v>111.95</v>
      </c>
      <c r="D44" s="11">
        <f>IF(LEFT(C44,1)="&lt;","&lt;",IF(AND(ISNUMBER('012-EFFLUENT'!B90),ISNUMBER(C90)),SUM(('012-EFFLUENT'!B90 *  C90) * 8.34),""))</f>
        <v>3043.7413799999999</v>
      </c>
      <c r="E44" s="7">
        <v>47</v>
      </c>
      <c r="F44" s="11">
        <f>IF(LEFT(E44,1)="&lt;","&lt;",IF(AND(ISNUMBER('012-EFFLUENT'!B90),ISNUMBER(E90)),SUM(('012-EFFLUENT'!B90 *  E90) * 8.34),""))</f>
        <v>1277.8548000000001</v>
      </c>
      <c r="G44" s="7">
        <v>1.54</v>
      </c>
      <c r="H44" s="11">
        <f>IF(LEFT(G44,1)="&lt;","&lt;",IF(AND(ISNUMBER('012-EFFLUENT'!B90),ISNUMBER(G90)),SUM(('012-EFFLUENT'!B90 *  G90) * 8.34),""))</f>
        <v>41.870135999999995</v>
      </c>
      <c r="I44" s="7">
        <v>0.04</v>
      </c>
      <c r="J44" s="11">
        <f>IF(LEFT(I44,1)="&lt;","&lt;",IF(AND(ISNUMBER('012-EFFLUENT'!B90),ISNUMBER(I90)),SUM(('012-EFFLUENT'!B90 *  I90) * 8.34),""))</f>
        <v>1.0875359999999998</v>
      </c>
      <c r="K44" s="7">
        <v>0</v>
      </c>
      <c r="L44" s="11">
        <f>IF(LEFT(K44,1)="&lt;","&lt;",IF(AND(ISNUMBER('012-EFFLUENT'!B90),ISNUMBER(K90)),SUM(('012-EFFLUENT'!B90 *  K90) * 8.34),""))</f>
        <v>0</v>
      </c>
      <c r="M44" s="7"/>
      <c r="N44" s="11" t="str">
        <f>IF(LEFT(M44,1)="&lt;","&lt;",IF(AND(ISNUMBER('012-EFFLUENT'!B90),ISNUMBER(M90)),SUM(('012-EFFLUENT'!B90 *  M90) * 8.34),""))</f>
        <v/>
      </c>
      <c r="O44" s="7"/>
      <c r="P44" s="11" t="str">
        <f>IF(LEFT(O44,1)="&lt;","&lt;",IF(AND(ISNUMBER('012-EFFLUENT'!B90),ISNUMBER(O90)),SUM(('012-EFFLUENT'!B90 *  O90) * 8.34),""))</f>
        <v/>
      </c>
      <c r="Q44" s="7">
        <v>79</v>
      </c>
      <c r="R44" s="7" t="s">
        <v>150</v>
      </c>
      <c r="S44" s="11" t="str">
        <f>IF(LEFT(R44,1)="&lt;","&lt;",IF(AND(ISNUMBER('012-EFFLUENT'!B90),ISNUMBER(R90)),SUM(('012-EFFLUENT'!B90 *  R90) * 8.34),""))</f>
        <v>&lt;</v>
      </c>
      <c r="T44" s="7"/>
      <c r="U44" s="7"/>
      <c r="V44" s="7">
        <v>7.1</v>
      </c>
      <c r="W44" s="7"/>
      <c r="X44" s="27"/>
    </row>
    <row r="45" spans="1:24" x14ac:dyDescent="0.2">
      <c r="A45" s="19">
        <v>27</v>
      </c>
      <c r="B45" s="7">
        <v>2.39</v>
      </c>
      <c r="C45" s="7">
        <v>408.6</v>
      </c>
      <c r="D45" s="11">
        <f>IF(LEFT(C45,1)="&lt;","&lt;",IF(AND(ISNUMBER('012-EFFLUENT'!B91),ISNUMBER(C91)),SUM(('012-EFFLUENT'!B91 *  C91) * 8.34),""))</f>
        <v>8144.4603600000009</v>
      </c>
      <c r="E45" s="7">
        <v>43</v>
      </c>
      <c r="F45" s="11">
        <f>IF(LEFT(E45,1)="&lt;","&lt;",IF(AND(ISNUMBER('012-EFFLUENT'!B91),ISNUMBER(E91)),SUM(('012-EFFLUENT'!B91 *  E91) * 8.34),""))</f>
        <v>857.10180000000003</v>
      </c>
      <c r="G45" s="7">
        <v>0.63</v>
      </c>
      <c r="H45" s="11">
        <f>IF(LEFT(G45,1)="&lt;","&lt;",IF(AND(ISNUMBER('012-EFFLUENT'!B91),ISNUMBER(G91)),SUM(('012-EFFLUENT'!B91 *  G91) * 8.34),""))</f>
        <v>12.557538000000001</v>
      </c>
      <c r="I45" s="7">
        <v>0.01</v>
      </c>
      <c r="J45" s="11">
        <f>IF(LEFT(I45,1)="&lt;","&lt;",IF(AND(ISNUMBER('012-EFFLUENT'!B91),ISNUMBER(I91)),SUM(('012-EFFLUENT'!B91 *  I91) * 8.34),""))</f>
        <v>0.199326</v>
      </c>
      <c r="K45" s="7">
        <v>0</v>
      </c>
      <c r="L45" s="11">
        <f>IF(LEFT(K45,1)="&lt;","&lt;",IF(AND(ISNUMBER('012-EFFLUENT'!B91),ISNUMBER(K91)),SUM(('012-EFFLUENT'!B91 *  K91) * 8.34),""))</f>
        <v>0</v>
      </c>
      <c r="M45" s="7"/>
      <c r="N45" s="11" t="str">
        <f>IF(LEFT(M45,1)="&lt;","&lt;",IF(AND(ISNUMBER('012-EFFLUENT'!B91),ISNUMBER(M91)),SUM(('012-EFFLUENT'!B91 *  M91) * 8.34),""))</f>
        <v/>
      </c>
      <c r="O45" s="7"/>
      <c r="P45" s="11" t="str">
        <f>IF(LEFT(O45,1)="&lt;","&lt;",IF(AND(ISNUMBER('012-EFFLUENT'!B91),ISNUMBER(O91)),SUM(('012-EFFLUENT'!B91 *  O91) * 8.34),""))</f>
        <v/>
      </c>
      <c r="Q45" s="7">
        <v>78</v>
      </c>
      <c r="R45" s="7" t="s">
        <v>150</v>
      </c>
      <c r="S45" s="11" t="str">
        <f>IF(LEFT(R45,1)="&lt;","&lt;",IF(AND(ISNUMBER('012-EFFLUENT'!B91),ISNUMBER(R91)),SUM(('012-EFFLUENT'!B91 *  R91) * 8.34),""))</f>
        <v>&lt;</v>
      </c>
      <c r="T45" s="7"/>
      <c r="U45" s="7"/>
      <c r="V45" s="7">
        <v>7.8</v>
      </c>
      <c r="W45" s="7"/>
      <c r="X45" s="27"/>
    </row>
    <row r="46" spans="1:24" x14ac:dyDescent="0.2">
      <c r="A46" s="20">
        <v>28</v>
      </c>
      <c r="B46" s="12">
        <v>3.69</v>
      </c>
      <c r="C46" s="12">
        <v>483</v>
      </c>
      <c r="D46" s="14">
        <f>IF(LEFT(C46,1)="&lt;","&lt;",IF(AND(ISNUMBER('012-EFFLUENT'!B92),ISNUMBER(C92)),SUM(('012-EFFLUENT'!B92 *  C92) * 8.34),""))</f>
        <v>14864.131799999999</v>
      </c>
      <c r="E46" s="12">
        <v>46</v>
      </c>
      <c r="F46" s="14">
        <f>IF(LEFT(E46,1)="&lt;","&lt;",IF(AND(ISNUMBER('012-EFFLUENT'!B92),ISNUMBER(E92)),SUM(('012-EFFLUENT'!B92 *  E92) * 8.34),""))</f>
        <v>1415.6316000000002</v>
      </c>
      <c r="G46" s="12">
        <v>1.45</v>
      </c>
      <c r="H46" s="14">
        <f>IF(LEFT(G46,1)="&lt;","&lt;",IF(AND(ISNUMBER('012-EFFLUENT'!B92),ISNUMBER(G92)),SUM(('012-EFFLUENT'!B92 *  G92) * 8.34),""))</f>
        <v>44.623169999999995</v>
      </c>
      <c r="I46" s="12">
        <v>0.04</v>
      </c>
      <c r="J46" s="14">
        <f>IF(LEFT(I46,1)="&lt;","&lt;",IF(AND(ISNUMBER('012-EFFLUENT'!B92),ISNUMBER(I92)),SUM(('012-EFFLUENT'!B92 *  I92) * 8.34),""))</f>
        <v>1.2309840000000001</v>
      </c>
      <c r="K46" s="12">
        <v>0</v>
      </c>
      <c r="L46" s="14">
        <f>IF(LEFT(K46,1)="&lt;","&lt;",IF(AND(ISNUMBER('012-EFFLUENT'!B92),ISNUMBER(K92)),SUM(('012-EFFLUENT'!B92 *  K92) * 8.34),""))</f>
        <v>0</v>
      </c>
      <c r="M46" s="12"/>
      <c r="N46" s="14" t="str">
        <f>IF(LEFT(M46,1)="&lt;","&lt;",IF(AND(ISNUMBER('012-EFFLUENT'!B92),ISNUMBER(M92)),SUM(('012-EFFLUENT'!B92 *  M92) * 8.34),""))</f>
        <v/>
      </c>
      <c r="O46" s="12"/>
      <c r="P46" s="14" t="str">
        <f>IF(LEFT(O46,1)="&lt;","&lt;",IF(AND(ISNUMBER('012-EFFLUENT'!B92),ISNUMBER(O92)),SUM(('012-EFFLUENT'!B92 *  O92) * 8.34),""))</f>
        <v/>
      </c>
      <c r="Q46" s="12">
        <v>78</v>
      </c>
      <c r="R46" s="12" t="s">
        <v>150</v>
      </c>
      <c r="S46" s="14" t="str">
        <f>IF(LEFT(R46,1)="&lt;","&lt;",IF(AND(ISNUMBER('012-EFFLUENT'!B92),ISNUMBER(R92)),SUM(('012-EFFLUENT'!B92 *  R92) * 8.34),""))</f>
        <v>&lt;</v>
      </c>
      <c r="T46" s="12"/>
      <c r="U46" s="12"/>
      <c r="V46" s="12">
        <v>7.6</v>
      </c>
      <c r="W46" s="12"/>
      <c r="X46" s="25"/>
    </row>
    <row r="47" spans="1:24" x14ac:dyDescent="0.2">
      <c r="A47" s="19">
        <v>29</v>
      </c>
      <c r="B47" s="7">
        <v>3.94</v>
      </c>
      <c r="C47" s="7">
        <v>341.4</v>
      </c>
      <c r="D47" s="11">
        <f>IF(LEFT(C47,1)="&lt;","&lt;",IF(AND(ISNUMBER('012-EFFLUENT'!B93),ISNUMBER(C93)),SUM(('012-EFFLUENT'!B93 *  C93) * 8.34),""))</f>
        <v>11218.26744</v>
      </c>
      <c r="E47" s="7">
        <v>35</v>
      </c>
      <c r="F47" s="11">
        <f>IF(LEFT(E47,1)="&lt;","&lt;",IF(AND(ISNUMBER('012-EFFLUENT'!B93),ISNUMBER(E93)),SUM(('012-EFFLUENT'!B93 *  E93) * 8.34),""))</f>
        <v>1150.086</v>
      </c>
      <c r="G47" s="7">
        <v>1.47</v>
      </c>
      <c r="H47" s="11">
        <f>IF(LEFT(G47,1)="&lt;","&lt;",IF(AND(ISNUMBER('012-EFFLUENT'!B93),ISNUMBER(G93)),SUM(('012-EFFLUENT'!B93 *  G93) * 8.34),""))</f>
        <v>48.303611999999994</v>
      </c>
      <c r="I47" s="7">
        <v>0.35</v>
      </c>
      <c r="J47" s="11">
        <f>IF(LEFT(I47,1)="&lt;","&lt;",IF(AND(ISNUMBER('012-EFFLUENT'!B93),ISNUMBER(I93)),SUM(('012-EFFLUENT'!B93 *  I93) * 8.34),""))</f>
        <v>11.500859999999999</v>
      </c>
      <c r="K47" s="7">
        <v>0</v>
      </c>
      <c r="L47" s="11">
        <f>IF(LEFT(K47,1)="&lt;","&lt;",IF(AND(ISNUMBER('012-EFFLUENT'!B93),ISNUMBER(K93)),SUM(('012-EFFLUENT'!B93 *  K93) * 8.34),""))</f>
        <v>0</v>
      </c>
      <c r="M47" s="7">
        <v>47.25</v>
      </c>
      <c r="N47" s="11">
        <f>IF(LEFT(M47,1)="&lt;","&lt;",IF(AND(ISNUMBER('012-EFFLUENT'!B93),ISNUMBER(M93)),SUM(('012-EFFLUENT'!B93 *  M93) * 8.34),""))</f>
        <v>1552.6161</v>
      </c>
      <c r="O47" s="7">
        <v>5</v>
      </c>
      <c r="P47" s="11">
        <f>IF(LEFT(O47,1)="&lt;","&lt;",IF(AND(ISNUMBER('012-EFFLUENT'!B93),ISNUMBER(O93)),SUM(('012-EFFLUENT'!B93 *  O93) * 8.34),""))</f>
        <v>164.298</v>
      </c>
      <c r="Q47" s="7">
        <v>75</v>
      </c>
      <c r="R47" s="7" t="s">
        <v>150</v>
      </c>
      <c r="S47" s="11" t="str">
        <f>IF(LEFT(R47,1)="&lt;","&lt;",IF(AND(ISNUMBER('012-EFFLUENT'!B93),ISNUMBER(R93)),SUM(('012-EFFLUENT'!B93 *  R93) * 8.34),""))</f>
        <v>&lt;</v>
      </c>
      <c r="T47" s="7"/>
      <c r="U47" s="7"/>
      <c r="V47" s="7">
        <v>7.84</v>
      </c>
      <c r="W47" s="7"/>
      <c r="X47" s="27"/>
    </row>
    <row r="48" spans="1:24" x14ac:dyDescent="0.2">
      <c r="A48" s="19">
        <v>30</v>
      </c>
      <c r="B48" s="7">
        <v>4.21</v>
      </c>
      <c r="C48" s="7">
        <v>174.45</v>
      </c>
      <c r="D48" s="11">
        <f>IF(LEFT(C48,1)="&lt;","&lt;",IF(AND(ISNUMBER('012-EFFLUENT'!B94),ISNUMBER(C94)),SUM(('012-EFFLUENT'!B94 *  C94) * 8.34),""))</f>
        <v>6125.1837299999997</v>
      </c>
      <c r="E48" s="7">
        <v>40</v>
      </c>
      <c r="F48" s="11">
        <f>IF(LEFT(E48,1)="&lt;","&lt;",IF(AND(ISNUMBER('012-EFFLUENT'!B94),ISNUMBER(E94)),SUM(('012-EFFLUENT'!B94 *  E94) * 8.34),""))</f>
        <v>1404.4560000000001</v>
      </c>
      <c r="G48" s="7">
        <v>6.34</v>
      </c>
      <c r="H48" s="11">
        <f>IF(LEFT(G48,1)="&lt;","&lt;",IF(AND(ISNUMBER('012-EFFLUENT'!B94),ISNUMBER(G94)),SUM(('012-EFFLUENT'!B94 *  G94) * 8.34),""))</f>
        <v>222.60627599999998</v>
      </c>
      <c r="I48" s="7">
        <v>0.04</v>
      </c>
      <c r="J48" s="11">
        <f>IF(LEFT(I48,1)="&lt;","&lt;",IF(AND(ISNUMBER('012-EFFLUENT'!B94),ISNUMBER(I94)),SUM(('012-EFFLUENT'!B94 *  I94) * 8.34),""))</f>
        <v>1.4044559999999999</v>
      </c>
      <c r="K48" s="7">
        <v>0</v>
      </c>
      <c r="L48" s="11">
        <f>IF(LEFT(K48,1)="&lt;","&lt;",IF(AND(ISNUMBER('012-EFFLUENT'!B94),ISNUMBER(K94)),SUM(('012-EFFLUENT'!B94 *  K94) * 8.34),""))</f>
        <v>0</v>
      </c>
      <c r="M48" s="7"/>
      <c r="N48" s="11" t="str">
        <f>IF(LEFT(M48,1)="&lt;","&lt;",IF(AND(ISNUMBER('012-EFFLUENT'!B94),ISNUMBER(M94)),SUM(('012-EFFLUENT'!B94 *  M94) * 8.34),""))</f>
        <v/>
      </c>
      <c r="O48" s="7"/>
      <c r="P48" s="11" t="str">
        <f>IF(LEFT(O48,1)="&lt;","&lt;",IF(AND(ISNUMBER('012-EFFLUENT'!B94),ISNUMBER(O94)),SUM(('012-EFFLUENT'!B94 *  O94) * 8.34),""))</f>
        <v/>
      </c>
      <c r="Q48" s="7">
        <v>75</v>
      </c>
      <c r="R48" s="7" t="s">
        <v>150</v>
      </c>
      <c r="S48" s="11" t="str">
        <f>IF(LEFT(R48,1)="&lt;","&lt;",IF(AND(ISNUMBER('012-EFFLUENT'!B94),ISNUMBER(R94)),SUM(('012-EFFLUENT'!B94 *  R94) * 8.34),""))</f>
        <v>&lt;</v>
      </c>
      <c r="T48" s="7"/>
      <c r="U48" s="7"/>
      <c r="V48" s="7">
        <v>7.5</v>
      </c>
      <c r="W48" s="7"/>
      <c r="X48" s="27"/>
    </row>
    <row r="49" spans="1:24" x14ac:dyDescent="0.2">
      <c r="A49" s="19">
        <v>31</v>
      </c>
      <c r="B49" s="7">
        <v>4.34</v>
      </c>
      <c r="C49" s="7">
        <v>171</v>
      </c>
      <c r="D49" s="11">
        <f>IF(LEFT(C49,1)="&lt;","&lt;",IF(AND(ISNUMBER('012-EFFLUENT'!B95),ISNUMBER(C95)),SUM(('012-EFFLUENT'!B95 *  C95) * 8.34),""))</f>
        <v>6189.4475999999995</v>
      </c>
      <c r="E49" s="7">
        <v>34</v>
      </c>
      <c r="F49" s="11">
        <f>IF(LEFT(E49,1)="&lt;","&lt;",IF(AND(ISNUMBER('012-EFFLUENT'!B95),ISNUMBER(E95)),SUM(('012-EFFLUENT'!B95 *  E95) * 8.34),""))</f>
        <v>1230.6504</v>
      </c>
      <c r="G49" s="7">
        <v>2.13</v>
      </c>
      <c r="H49" s="11">
        <f>IF(LEFT(G49,1)="&lt;","&lt;",IF(AND(ISNUMBER('012-EFFLUENT'!B95),ISNUMBER(G95)),SUM(('012-EFFLUENT'!B95 *  G95) * 8.34),""))</f>
        <v>77.096627999999995</v>
      </c>
      <c r="I49" s="7">
        <v>0.02</v>
      </c>
      <c r="J49" s="11">
        <f>IF(LEFT(I49,1)="&lt;","&lt;",IF(AND(ISNUMBER('012-EFFLUENT'!B95),ISNUMBER(I95)),SUM(('012-EFFLUENT'!B95 *  I95) * 8.34),""))</f>
        <v>0.723912</v>
      </c>
      <c r="K49" s="7">
        <v>0</v>
      </c>
      <c r="L49" s="11">
        <f>IF(LEFT(K49,1)="&lt;","&lt;",IF(AND(ISNUMBER('012-EFFLUENT'!B95),ISNUMBER(K95)),SUM(('012-EFFLUENT'!B95 *  K95) * 8.34),""))</f>
        <v>0</v>
      </c>
      <c r="M49" s="7"/>
      <c r="N49" s="11" t="str">
        <f>IF(LEFT(M49,1)="&lt;","&lt;",IF(AND(ISNUMBER('012-EFFLUENT'!B95),ISNUMBER(M95)),SUM(('012-EFFLUENT'!B95 *  M95) * 8.34),""))</f>
        <v/>
      </c>
      <c r="O49" s="7"/>
      <c r="P49" s="11" t="str">
        <f>IF(LEFT(O49,1)="&lt;","&lt;",IF(AND(ISNUMBER('012-EFFLUENT'!B95),ISNUMBER(O95)),SUM(('012-EFFLUENT'!B95 *  O95) * 8.34),""))</f>
        <v/>
      </c>
      <c r="Q49" s="7">
        <v>78</v>
      </c>
      <c r="R49" s="7" t="s">
        <v>150</v>
      </c>
      <c r="S49" s="11" t="str">
        <f>IF(LEFT(R49,1)="&lt;","&lt;",IF(AND(ISNUMBER('012-EFFLUENT'!B95),ISNUMBER(R95)),SUM(('012-EFFLUENT'!B95 *  R95) * 8.34),""))</f>
        <v>&lt;</v>
      </c>
      <c r="T49" s="7"/>
      <c r="U49" s="7"/>
      <c r="V49" s="7">
        <v>7.2</v>
      </c>
      <c r="W49" s="7"/>
      <c r="X49" s="27"/>
    </row>
    <row r="50" spans="1:24" hidden="1" x14ac:dyDescent="0.2">
      <c r="A50" s="21"/>
      <c r="B50" s="8"/>
      <c r="C50" s="8"/>
      <c r="D50" s="11" t="str">
        <f>IF(LEFT(C50,1)="&lt;","&lt;",IF(AND(ISNUMBER('012-EFFLUENT'!B96),ISNUMBER(C96)),SUM(('012-EFFLUENT'!B96 *  C96) * 8.34),""))</f>
        <v/>
      </c>
      <c r="E50" s="8"/>
      <c r="F50" s="11" t="str">
        <f>IF(LEFT(E50,1)="&lt;","&lt;",IF(AND(ISNUMBER('012-EFFLUENT'!B96),ISNUMBER(E96)),SUM(('012-EFFLUENT'!B96 *  E96) * 8.34),""))</f>
        <v/>
      </c>
      <c r="G50" s="8"/>
      <c r="H50" s="11" t="str">
        <f>IF(LEFT(G50,1)="&lt;","&lt;",IF(AND(ISNUMBER('012-EFFLUENT'!B96),ISNUMBER(G96)),SUM(('012-EFFLUENT'!B96 *  G96) * 8.34),""))</f>
        <v/>
      </c>
      <c r="I50" s="8"/>
      <c r="J50" s="11" t="str">
        <f>IF(LEFT(I50,1)="&lt;","&lt;",IF(AND(ISNUMBER('012-EFFLUENT'!B96),ISNUMBER(I96)),SUM(('012-EFFLUENT'!B96 *  I96) * 8.34),""))</f>
        <v/>
      </c>
      <c r="K50" s="8"/>
      <c r="L50" s="11" t="str">
        <f>IF(LEFT(K50,1)="&lt;","&lt;",IF(AND(ISNUMBER('012-EFFLUENT'!B96),ISNUMBER(K96)),SUM(('012-EFFLUENT'!B96 *  K96) * 8.34),""))</f>
        <v/>
      </c>
      <c r="M50" s="8"/>
      <c r="N50" s="11" t="str">
        <f>IF(LEFT(M50,1)="&lt;","&lt;",IF(AND(ISNUMBER('012-EFFLUENT'!B96),ISNUMBER(M96)),SUM(('012-EFFLUENT'!B96 *  M96) * 8.34),""))</f>
        <v/>
      </c>
      <c r="O50" s="8"/>
      <c r="P50" s="11" t="str">
        <f>IF(LEFT(O50,1)="&lt;","&lt;",IF(AND(ISNUMBER('012-EFFLUENT'!B96),ISNUMBER(O96)),SUM(('012-EFFLUENT'!B96 *  O96) * 8.34),""))</f>
        <v/>
      </c>
      <c r="Q50" s="8"/>
      <c r="R50" s="8"/>
      <c r="S50" s="11" t="str">
        <f>IF(LEFT(R50,1)="&lt;","&lt;",IF(AND(ISNUMBER('012-EFFLUENT'!B96),ISNUMBER(R96)),SUM(('012-EFFLUENT'!B96 *  R96) * 8.34),""))</f>
        <v/>
      </c>
      <c r="T50" s="8"/>
      <c r="U50" s="8"/>
      <c r="V50" s="8"/>
      <c r="W50" s="8"/>
      <c r="X50" s="32"/>
    </row>
    <row r="51" spans="1:24" x14ac:dyDescent="0.2">
      <c r="A51" s="22" t="s">
        <v>64</v>
      </c>
      <c r="B51" s="13">
        <f t="shared" ref="B51:X51" si="0">IF(COUNTA(B19:B50)&gt;0,SUM(B65:B96),"")</f>
        <v>119.7</v>
      </c>
      <c r="C51" s="13">
        <f t="shared" si="0"/>
        <v>2934.29</v>
      </c>
      <c r="D51" s="13">
        <f t="shared" si="0"/>
        <v>87413.403990000006</v>
      </c>
      <c r="E51" s="13">
        <f t="shared" si="0"/>
        <v>1003</v>
      </c>
      <c r="F51" s="13">
        <f t="shared" si="0"/>
        <v>31782.739199999996</v>
      </c>
      <c r="G51" s="13">
        <f t="shared" si="0"/>
        <v>152.01999999999998</v>
      </c>
      <c r="H51" s="13">
        <f t="shared" si="0"/>
        <v>4842.5626199999997</v>
      </c>
      <c r="I51" s="13">
        <f t="shared" si="0"/>
        <v>1.1800000000000002</v>
      </c>
      <c r="J51" s="13">
        <f t="shared" si="0"/>
        <v>37.846919999999997</v>
      </c>
      <c r="K51" s="13">
        <f t="shared" si="0"/>
        <v>1.56</v>
      </c>
      <c r="L51" s="13">
        <f t="shared" si="0"/>
        <v>40.592448000000005</v>
      </c>
      <c r="M51" s="13">
        <f t="shared" si="0"/>
        <v>128.07</v>
      </c>
      <c r="N51" s="13">
        <f t="shared" si="0"/>
        <v>4100.3293080000003</v>
      </c>
      <c r="O51" s="13">
        <f t="shared" si="0"/>
        <v>11.969999999999999</v>
      </c>
      <c r="P51" s="13">
        <f t="shared" si="0"/>
        <v>384.818442</v>
      </c>
      <c r="Q51" s="13">
        <f t="shared" si="0"/>
        <v>2216.6</v>
      </c>
      <c r="R51" s="13">
        <f t="shared" si="0"/>
        <v>0</v>
      </c>
      <c r="S51" s="13">
        <f t="shared" si="0"/>
        <v>0</v>
      </c>
      <c r="T51" s="13">
        <f t="shared" si="0"/>
        <v>1</v>
      </c>
      <c r="U51" s="13">
        <f t="shared" si="0"/>
        <v>1</v>
      </c>
      <c r="V51" s="13">
        <f t="shared" si="0"/>
        <v>228.95999999999998</v>
      </c>
      <c r="W51" s="13">
        <f t="shared" si="0"/>
        <v>1</v>
      </c>
      <c r="X51" s="28">
        <f t="shared" si="0"/>
        <v>1</v>
      </c>
    </row>
    <row r="52" spans="1:24" x14ac:dyDescent="0.2">
      <c r="A52" s="19" t="s">
        <v>65</v>
      </c>
      <c r="B52" s="10">
        <f t="shared" ref="B52:X52" si="1">IF(ISNUMBER(AVERAGE(B65:B96)),AVERAGE(B65:B96),"")</f>
        <v>3.8612903225806452</v>
      </c>
      <c r="C52" s="10">
        <f t="shared" si="1"/>
        <v>94.65451612903226</v>
      </c>
      <c r="D52" s="10">
        <f t="shared" si="1"/>
        <v>2819.7872254838712</v>
      </c>
      <c r="E52" s="10">
        <f t="shared" si="1"/>
        <v>32.354838709677416</v>
      </c>
      <c r="F52" s="10">
        <f t="shared" si="1"/>
        <v>1025.2496516129031</v>
      </c>
      <c r="G52" s="10">
        <f t="shared" si="1"/>
        <v>4.903870967741935</v>
      </c>
      <c r="H52" s="10">
        <f t="shared" si="1"/>
        <v>156.21169741935483</v>
      </c>
      <c r="I52" s="10">
        <f t="shared" si="1"/>
        <v>3.8064516129032264E-2</v>
      </c>
      <c r="J52" s="10">
        <f t="shared" si="1"/>
        <v>1.220868387096774</v>
      </c>
      <c r="K52" s="10">
        <f t="shared" si="1"/>
        <v>5.0322580645161291E-2</v>
      </c>
      <c r="L52" s="10">
        <f t="shared" si="1"/>
        <v>1.3094338064516131</v>
      </c>
      <c r="M52" s="10">
        <f t="shared" si="1"/>
        <v>25.613999999999997</v>
      </c>
      <c r="N52" s="10">
        <f t="shared" si="1"/>
        <v>820.06586160000006</v>
      </c>
      <c r="O52" s="10">
        <f t="shared" si="1"/>
        <v>2.3939999999999997</v>
      </c>
      <c r="P52" s="10">
        <f t="shared" si="1"/>
        <v>76.963688399999995</v>
      </c>
      <c r="Q52" s="10">
        <f t="shared" si="1"/>
        <v>71.50322580645161</v>
      </c>
      <c r="R52" s="10">
        <f t="shared" si="1"/>
        <v>0</v>
      </c>
      <c r="S52" s="10">
        <f t="shared" si="1"/>
        <v>0</v>
      </c>
      <c r="T52" s="10">
        <f t="shared" si="1"/>
        <v>1</v>
      </c>
      <c r="U52" s="10">
        <f t="shared" si="1"/>
        <v>1</v>
      </c>
      <c r="V52" s="10">
        <f t="shared" si="1"/>
        <v>7.3858064516129023</v>
      </c>
      <c r="W52" s="10">
        <f t="shared" si="1"/>
        <v>1</v>
      </c>
      <c r="X52" s="29">
        <f t="shared" si="1"/>
        <v>1</v>
      </c>
    </row>
    <row r="53" spans="1:24" x14ac:dyDescent="0.2">
      <c r="A53" s="19" t="s">
        <v>66</v>
      </c>
      <c r="B53" s="10">
        <f t="shared" ref="B53:X53" si="2">IF(MAX(B65:B96)=0,"",MAX(B65:B96))</f>
        <v>4.9800000000000004</v>
      </c>
      <c r="C53" s="10">
        <f t="shared" si="2"/>
        <v>523</v>
      </c>
      <c r="D53" s="10">
        <f t="shared" si="2"/>
        <v>14864.131799999999</v>
      </c>
      <c r="E53" s="10">
        <f t="shared" si="2"/>
        <v>57</v>
      </c>
      <c r="F53" s="10">
        <f t="shared" si="2"/>
        <v>1863.4895999999999</v>
      </c>
      <c r="G53" s="10">
        <f t="shared" si="2"/>
        <v>117.5</v>
      </c>
      <c r="H53" s="10">
        <f t="shared" si="2"/>
        <v>3674.8125</v>
      </c>
      <c r="I53" s="10">
        <f t="shared" si="2"/>
        <v>0.35</v>
      </c>
      <c r="J53" s="10">
        <f t="shared" si="2"/>
        <v>11.500859999999999</v>
      </c>
      <c r="K53" s="10">
        <f t="shared" si="2"/>
        <v>1.56</v>
      </c>
      <c r="L53" s="10">
        <f t="shared" si="2"/>
        <v>40.592448000000005</v>
      </c>
      <c r="M53" s="10">
        <f t="shared" si="2"/>
        <v>59.25</v>
      </c>
      <c r="N53" s="10">
        <f t="shared" si="2"/>
        <v>1853.04375</v>
      </c>
      <c r="O53" s="10">
        <f t="shared" si="2"/>
        <v>5</v>
      </c>
      <c r="P53" s="10">
        <f t="shared" si="2"/>
        <v>164.298</v>
      </c>
      <c r="Q53" s="10">
        <f t="shared" si="2"/>
        <v>82</v>
      </c>
      <c r="R53" s="10" t="str">
        <f t="shared" si="2"/>
        <v/>
      </c>
      <c r="S53" s="10" t="str">
        <f t="shared" si="2"/>
        <v/>
      </c>
      <c r="T53" s="10">
        <f t="shared" si="2"/>
        <v>1</v>
      </c>
      <c r="U53" s="10">
        <f t="shared" si="2"/>
        <v>1</v>
      </c>
      <c r="V53" s="10">
        <f t="shared" si="2"/>
        <v>12.4</v>
      </c>
      <c r="W53" s="10">
        <f t="shared" si="2"/>
        <v>1</v>
      </c>
      <c r="X53" s="29">
        <f t="shared" si="2"/>
        <v>1</v>
      </c>
    </row>
    <row r="54" spans="1:24" x14ac:dyDescent="0.2">
      <c r="A54" s="19" t="s">
        <v>67</v>
      </c>
      <c r="B54" s="10">
        <f t="shared" ref="B54:X54" si="3">IF(MIN(B65:B96)=0,"",MIN(B65:B96))</f>
        <v>2.39</v>
      </c>
      <c r="C54" s="10">
        <f t="shared" si="3"/>
        <v>3.57</v>
      </c>
      <c r="D54" s="10">
        <f t="shared" si="3"/>
        <v>115.820082</v>
      </c>
      <c r="E54" s="10">
        <f t="shared" si="3"/>
        <v>11</v>
      </c>
      <c r="F54" s="10">
        <f t="shared" si="3"/>
        <v>292.65059999999994</v>
      </c>
      <c r="G54" s="10">
        <f t="shared" si="3"/>
        <v>0.21</v>
      </c>
      <c r="H54" s="10">
        <f t="shared" si="3"/>
        <v>5.9847840000000003</v>
      </c>
      <c r="I54" s="10">
        <f t="shared" si="3"/>
        <v>0.01</v>
      </c>
      <c r="J54" s="10">
        <f t="shared" si="3"/>
        <v>0.199326</v>
      </c>
      <c r="K54" s="10" t="str">
        <f t="shared" si="3"/>
        <v/>
      </c>
      <c r="L54" s="10" t="str">
        <f t="shared" si="3"/>
        <v/>
      </c>
      <c r="M54" s="10">
        <f t="shared" si="3"/>
        <v>5.36</v>
      </c>
      <c r="N54" s="10">
        <f t="shared" si="3"/>
        <v>142.60065600000001</v>
      </c>
      <c r="O54" s="10">
        <f t="shared" si="3"/>
        <v>0.49</v>
      </c>
      <c r="P54" s="10">
        <f t="shared" si="3"/>
        <v>15.430667999999999</v>
      </c>
      <c r="Q54" s="10">
        <f t="shared" si="3"/>
        <v>8</v>
      </c>
      <c r="R54" s="10" t="str">
        <f t="shared" si="3"/>
        <v/>
      </c>
      <c r="S54" s="10" t="str">
        <f t="shared" si="3"/>
        <v/>
      </c>
      <c r="T54" s="10">
        <f t="shared" si="3"/>
        <v>1</v>
      </c>
      <c r="U54" s="10">
        <f t="shared" si="3"/>
        <v>1</v>
      </c>
      <c r="V54" s="10">
        <f t="shared" si="3"/>
        <v>5.7</v>
      </c>
      <c r="W54" s="10">
        <f t="shared" si="3"/>
        <v>1</v>
      </c>
      <c r="X54" s="29">
        <f t="shared" si="3"/>
        <v>1</v>
      </c>
    </row>
    <row r="55" spans="1:24" x14ac:dyDescent="0.2">
      <c r="A55" s="19" t="s">
        <v>68</v>
      </c>
      <c r="B55" s="10">
        <f t="shared" ref="B55:X55" si="4">IF(MAX(B57:B60)=0,"",MAX(B57:B60))</f>
        <v>4.3385714285714281</v>
      </c>
      <c r="C55" s="10">
        <f t="shared" si="4"/>
        <v>231.73142857142855</v>
      </c>
      <c r="D55" s="10">
        <f t="shared" si="4"/>
        <v>6113.5642037142852</v>
      </c>
      <c r="E55" s="10">
        <f t="shared" si="4"/>
        <v>44.571428571428569</v>
      </c>
      <c r="F55" s="10">
        <f t="shared" si="4"/>
        <v>1275.054942857143</v>
      </c>
      <c r="G55" s="10">
        <f t="shared" si="4"/>
        <v>17.64142857142857</v>
      </c>
      <c r="H55" s="10">
        <f t="shared" si="4"/>
        <v>548.7957094285714</v>
      </c>
      <c r="I55" s="10">
        <f t="shared" si="4"/>
        <v>3.4285714285714294E-2</v>
      </c>
      <c r="J55" s="10">
        <f t="shared" si="4"/>
        <v>1.18845</v>
      </c>
      <c r="K55" s="10">
        <f t="shared" si="4"/>
        <v>0.22285714285714286</v>
      </c>
      <c r="L55" s="10">
        <f t="shared" si="4"/>
        <v>5.7989211428571439</v>
      </c>
      <c r="M55" s="10">
        <f t="shared" si="4"/>
        <v>59.25</v>
      </c>
      <c r="N55" s="10">
        <f t="shared" si="4"/>
        <v>1853.04375</v>
      </c>
      <c r="O55" s="10">
        <f t="shared" si="4"/>
        <v>4.5</v>
      </c>
      <c r="P55" s="10">
        <f t="shared" si="4"/>
        <v>140.73750000000001</v>
      </c>
      <c r="Q55" s="10">
        <f t="shared" si="4"/>
        <v>74.857142857142861</v>
      </c>
      <c r="R55" s="10" t="str">
        <f t="shared" si="4"/>
        <v/>
      </c>
      <c r="S55" s="10" t="str">
        <f t="shared" si="4"/>
        <v/>
      </c>
      <c r="T55" s="10">
        <f t="shared" si="4"/>
        <v>1</v>
      </c>
      <c r="U55" s="10">
        <f t="shared" si="4"/>
        <v>1</v>
      </c>
      <c r="V55" s="10">
        <f t="shared" si="4"/>
        <v>7.9414285714285722</v>
      </c>
      <c r="W55" s="10">
        <f t="shared" si="4"/>
        <v>1</v>
      </c>
      <c r="X55" s="29">
        <f t="shared" si="4"/>
        <v>1</v>
      </c>
    </row>
    <row r="56" spans="1:24" x14ac:dyDescent="0.2">
      <c r="A56" s="21"/>
      <c r="X56" s="30"/>
    </row>
    <row r="57" spans="1:24" hidden="1" x14ac:dyDescent="0.2">
      <c r="A57" s="22" t="s">
        <v>69</v>
      </c>
      <c r="B57" s="13">
        <f t="shared" ref="B57:X57" si="5">IF(SUM(B65:B71)&gt;0,AVERAGE(B65:B71),"")</f>
        <v>3.6300000000000003</v>
      </c>
      <c r="C57" s="13">
        <f t="shared" si="5"/>
        <v>24.15</v>
      </c>
      <c r="D57" s="13">
        <f t="shared" si="5"/>
        <v>743.92704685714295</v>
      </c>
      <c r="E57" s="13">
        <f t="shared" si="5"/>
        <v>27.571428571428573</v>
      </c>
      <c r="F57" s="13">
        <f t="shared" si="5"/>
        <v>829.62745714285722</v>
      </c>
      <c r="G57" s="13">
        <f t="shared" si="5"/>
        <v>0.53999999999999992</v>
      </c>
      <c r="H57" s="13">
        <f t="shared" si="5"/>
        <v>15.847667999999999</v>
      </c>
      <c r="I57" s="13">
        <f t="shared" si="5"/>
        <v>1.8571428571428569E-2</v>
      </c>
      <c r="J57" s="13">
        <f t="shared" si="5"/>
        <v>0.53578542857142863</v>
      </c>
      <c r="K57" s="13">
        <f t="shared" si="5"/>
        <v>0.22285714285714286</v>
      </c>
      <c r="L57" s="13">
        <f t="shared" si="5"/>
        <v>5.7989211428571439</v>
      </c>
      <c r="M57" s="13">
        <f t="shared" si="5"/>
        <v>5.36</v>
      </c>
      <c r="N57" s="13">
        <f t="shared" si="5"/>
        <v>142.60065600000001</v>
      </c>
      <c r="O57" s="13">
        <f t="shared" si="5"/>
        <v>0.57999999999999996</v>
      </c>
      <c r="P57" s="13">
        <f t="shared" si="5"/>
        <v>15.430667999999999</v>
      </c>
      <c r="Q57" s="13">
        <f t="shared" si="5"/>
        <v>69.94285714285715</v>
      </c>
      <c r="R57" s="13" t="str">
        <f t="shared" si="5"/>
        <v/>
      </c>
      <c r="S57" s="13" t="str">
        <f t="shared" si="5"/>
        <v/>
      </c>
      <c r="T57" s="13">
        <f t="shared" si="5"/>
        <v>1</v>
      </c>
      <c r="U57" s="13">
        <f t="shared" si="5"/>
        <v>1</v>
      </c>
      <c r="V57" s="13">
        <f t="shared" si="5"/>
        <v>7.9414285714285722</v>
      </c>
      <c r="W57" s="13" t="str">
        <f t="shared" si="5"/>
        <v/>
      </c>
      <c r="X57" s="28" t="str">
        <f t="shared" si="5"/>
        <v/>
      </c>
    </row>
    <row r="58" spans="1:24" hidden="1" x14ac:dyDescent="0.2">
      <c r="A58" s="19" t="s">
        <v>70</v>
      </c>
      <c r="B58" s="10">
        <f t="shared" ref="B58:X58" si="6">IF(SUM(B72:B78)&gt;0,AVERAGE(B72:B78),"")</f>
        <v>4.0714285714285712</v>
      </c>
      <c r="C58" s="10">
        <f t="shared" si="6"/>
        <v>37.704285714285717</v>
      </c>
      <c r="D58" s="10">
        <f t="shared" si="6"/>
        <v>1283.2897397142856</v>
      </c>
      <c r="E58" s="10">
        <f t="shared" si="6"/>
        <v>20.285714285714285</v>
      </c>
      <c r="F58" s="10">
        <f t="shared" si="6"/>
        <v>684.53528571428581</v>
      </c>
      <c r="G58" s="10">
        <f t="shared" si="6"/>
        <v>0.28428571428571431</v>
      </c>
      <c r="H58" s="10">
        <f t="shared" si="6"/>
        <v>9.7849645714285725</v>
      </c>
      <c r="I58" s="10">
        <f t="shared" si="6"/>
        <v>2.4285714285714289E-2</v>
      </c>
      <c r="J58" s="10">
        <f t="shared" si="6"/>
        <v>0.81958371428571419</v>
      </c>
      <c r="K58" s="10" t="str">
        <f t="shared" si="6"/>
        <v/>
      </c>
      <c r="L58" s="10" t="str">
        <f t="shared" si="6"/>
        <v/>
      </c>
      <c r="M58" s="10">
        <f t="shared" si="6"/>
        <v>10.36</v>
      </c>
      <c r="N58" s="10">
        <f t="shared" si="6"/>
        <v>352.521792</v>
      </c>
      <c r="O58" s="10">
        <f t="shared" si="6"/>
        <v>1.4</v>
      </c>
      <c r="P58" s="10">
        <f t="shared" si="6"/>
        <v>47.638079999999995</v>
      </c>
      <c r="Q58" s="10">
        <f t="shared" si="6"/>
        <v>70.142857142857139</v>
      </c>
      <c r="R58" s="10" t="str">
        <f t="shared" si="6"/>
        <v/>
      </c>
      <c r="S58" s="10" t="str">
        <f t="shared" si="6"/>
        <v/>
      </c>
      <c r="T58" s="10" t="str">
        <f t="shared" si="6"/>
        <v/>
      </c>
      <c r="U58" s="10" t="str">
        <f t="shared" si="6"/>
        <v/>
      </c>
      <c r="V58" s="10">
        <f t="shared" si="6"/>
        <v>7.1185714285714283</v>
      </c>
      <c r="W58" s="10">
        <f t="shared" si="6"/>
        <v>1</v>
      </c>
      <c r="X58" s="29">
        <f t="shared" si="6"/>
        <v>1</v>
      </c>
    </row>
    <row r="59" spans="1:24" hidden="1" x14ac:dyDescent="0.2">
      <c r="A59" s="19" t="s">
        <v>71</v>
      </c>
      <c r="B59" s="10">
        <f t="shared" ref="B59:X59" si="7">IF(SUM(B79:B85)&gt;0,AVERAGE(B79:B85),"")</f>
        <v>4.3385714285714281</v>
      </c>
      <c r="C59" s="10">
        <f t="shared" si="7"/>
        <v>27.477142857142862</v>
      </c>
      <c r="D59" s="10">
        <f t="shared" si="7"/>
        <v>985.00546971428571</v>
      </c>
      <c r="E59" s="10">
        <f t="shared" si="7"/>
        <v>35.285714285714285</v>
      </c>
      <c r="F59" s="10">
        <f t="shared" si="7"/>
        <v>1275.054942857143</v>
      </c>
      <c r="G59" s="10">
        <f t="shared" si="7"/>
        <v>1.8314285714285714</v>
      </c>
      <c r="H59" s="10">
        <f t="shared" si="7"/>
        <v>67.651101428571423</v>
      </c>
      <c r="I59" s="10">
        <f t="shared" si="7"/>
        <v>3.2857142857142856E-2</v>
      </c>
      <c r="J59" s="10">
        <f t="shared" si="7"/>
        <v>1.18845</v>
      </c>
      <c r="K59" s="10" t="str">
        <f t="shared" si="7"/>
        <v/>
      </c>
      <c r="L59" s="10" t="str">
        <f t="shared" si="7"/>
        <v/>
      </c>
      <c r="M59" s="10">
        <f t="shared" si="7"/>
        <v>5.85</v>
      </c>
      <c r="N59" s="10">
        <f t="shared" si="7"/>
        <v>199.54700999999997</v>
      </c>
      <c r="O59" s="10">
        <f t="shared" si="7"/>
        <v>0.49</v>
      </c>
      <c r="P59" s="10">
        <f t="shared" si="7"/>
        <v>16.714193999999999</v>
      </c>
      <c r="Q59" s="10">
        <f t="shared" si="7"/>
        <v>74.857142857142861</v>
      </c>
      <c r="R59" s="10" t="str">
        <f t="shared" si="7"/>
        <v/>
      </c>
      <c r="S59" s="10" t="str">
        <f t="shared" si="7"/>
        <v/>
      </c>
      <c r="T59" s="10" t="str">
        <f t="shared" si="7"/>
        <v/>
      </c>
      <c r="U59" s="10" t="str">
        <f t="shared" si="7"/>
        <v/>
      </c>
      <c r="V59" s="10">
        <f t="shared" si="7"/>
        <v>7.1428571428571441</v>
      </c>
      <c r="W59" s="10" t="str">
        <f t="shared" si="7"/>
        <v/>
      </c>
      <c r="X59" s="29" t="str">
        <f t="shared" si="7"/>
        <v/>
      </c>
    </row>
    <row r="60" spans="1:24" hidden="1" x14ac:dyDescent="0.2">
      <c r="A60" s="20" t="s">
        <v>72</v>
      </c>
      <c r="B60" s="15">
        <f t="shared" ref="B60:X60" si="8">IF(SUM(B86:B92)&gt;0,AVERAGE(B86:B92),"")</f>
        <v>3.2757142857142862</v>
      </c>
      <c r="C60" s="15">
        <f t="shared" si="8"/>
        <v>231.73142857142855</v>
      </c>
      <c r="D60" s="15">
        <f t="shared" si="8"/>
        <v>6113.5642037142852</v>
      </c>
      <c r="E60" s="15">
        <f t="shared" si="8"/>
        <v>44.571428571428569</v>
      </c>
      <c r="F60" s="15">
        <f t="shared" si="8"/>
        <v>1210.4318571428573</v>
      </c>
      <c r="G60" s="15">
        <f t="shared" si="8"/>
        <v>17.64142857142857</v>
      </c>
      <c r="H60" s="15">
        <f t="shared" si="8"/>
        <v>548.7957094285714</v>
      </c>
      <c r="I60" s="15">
        <f t="shared" si="8"/>
        <v>3.4285714285714294E-2</v>
      </c>
      <c r="J60" s="15">
        <f t="shared" si="8"/>
        <v>0.91585114285714297</v>
      </c>
      <c r="K60" s="15" t="str">
        <f t="shared" si="8"/>
        <v/>
      </c>
      <c r="L60" s="15" t="str">
        <f t="shared" si="8"/>
        <v/>
      </c>
      <c r="M60" s="15">
        <f t="shared" si="8"/>
        <v>59.25</v>
      </c>
      <c r="N60" s="15">
        <f t="shared" si="8"/>
        <v>1853.04375</v>
      </c>
      <c r="O60" s="15">
        <f t="shared" si="8"/>
        <v>4.5</v>
      </c>
      <c r="P60" s="15">
        <f t="shared" si="8"/>
        <v>140.73750000000001</v>
      </c>
      <c r="Q60" s="15">
        <f t="shared" si="8"/>
        <v>69.142857142857139</v>
      </c>
      <c r="R60" s="15" t="str">
        <f t="shared" si="8"/>
        <v/>
      </c>
      <c r="S60" s="15" t="str">
        <f t="shared" si="8"/>
        <v/>
      </c>
      <c r="T60" s="15" t="str">
        <f t="shared" si="8"/>
        <v/>
      </c>
      <c r="U60" s="15" t="str">
        <f t="shared" si="8"/>
        <v/>
      </c>
      <c r="V60" s="15">
        <f t="shared" si="8"/>
        <v>7.2857142857142856</v>
      </c>
      <c r="W60" s="15" t="str">
        <f t="shared" si="8"/>
        <v/>
      </c>
      <c r="X60" s="31" t="str">
        <f t="shared" si="8"/>
        <v/>
      </c>
    </row>
    <row r="65" spans="1:24" hidden="1" x14ac:dyDescent="0.2">
      <c r="A65" s="4" t="s">
        <v>73</v>
      </c>
      <c r="B65" s="3">
        <f t="shared" ref="B65:X65" si="9">IF(LEFT(B19,1) = "&lt;",0, IF(ISBLANK(B19),"",B19))</f>
        <v>3.12</v>
      </c>
      <c r="C65" s="3">
        <f t="shared" si="9"/>
        <v>27.23</v>
      </c>
      <c r="D65" s="3">
        <f t="shared" si="9"/>
        <v>708.54638399999999</v>
      </c>
      <c r="E65" s="3">
        <f t="shared" si="9"/>
        <v>28</v>
      </c>
      <c r="F65" s="3">
        <f t="shared" si="9"/>
        <v>728.58240000000001</v>
      </c>
      <c r="G65" s="3">
        <f t="shared" si="9"/>
        <v>0.23</v>
      </c>
      <c r="H65" s="3">
        <f t="shared" si="9"/>
        <v>5.9847840000000003</v>
      </c>
      <c r="I65" s="3">
        <f t="shared" si="9"/>
        <v>0.05</v>
      </c>
      <c r="J65" s="3">
        <f t="shared" si="9"/>
        <v>1.3010400000000002</v>
      </c>
      <c r="K65" s="3">
        <f t="shared" si="9"/>
        <v>1.56</v>
      </c>
      <c r="L65" s="3">
        <f t="shared" si="9"/>
        <v>40.592448000000005</v>
      </c>
      <c r="M65" s="3" t="str">
        <f t="shared" si="9"/>
        <v/>
      </c>
      <c r="N65" s="3" t="str">
        <f t="shared" si="9"/>
        <v/>
      </c>
      <c r="O65" s="3" t="str">
        <f t="shared" si="9"/>
        <v/>
      </c>
      <c r="P65" s="3" t="str">
        <f t="shared" si="9"/>
        <v/>
      </c>
      <c r="Q65" s="3">
        <f t="shared" si="9"/>
        <v>68</v>
      </c>
      <c r="R65" s="3">
        <f t="shared" si="9"/>
        <v>0</v>
      </c>
      <c r="S65" s="3">
        <f t="shared" si="9"/>
        <v>0</v>
      </c>
      <c r="T65" s="3">
        <f t="shared" si="9"/>
        <v>1</v>
      </c>
      <c r="U65" s="3">
        <f t="shared" si="9"/>
        <v>1</v>
      </c>
      <c r="V65" s="3">
        <f t="shared" si="9"/>
        <v>5.7</v>
      </c>
      <c r="W65" s="3" t="str">
        <f t="shared" si="9"/>
        <v/>
      </c>
      <c r="X65" s="3" t="str">
        <f t="shared" si="9"/>
        <v/>
      </c>
    </row>
    <row r="66" spans="1:24" hidden="1" x14ac:dyDescent="0.2">
      <c r="A66" s="4" t="s">
        <v>74</v>
      </c>
      <c r="B66" s="3">
        <f t="shared" ref="B66:X66" si="10">IF(LEFT(B20,1) = "&lt;",0, IF(ISBLANK(B20),"",B20))</f>
        <v>3.19</v>
      </c>
      <c r="C66" s="3">
        <f t="shared" si="10"/>
        <v>22.26</v>
      </c>
      <c r="D66" s="3">
        <f t="shared" si="10"/>
        <v>592.21839599999998</v>
      </c>
      <c r="E66" s="3">
        <f t="shared" si="10"/>
        <v>16</v>
      </c>
      <c r="F66" s="3">
        <f t="shared" si="10"/>
        <v>425.67359999999996</v>
      </c>
      <c r="G66" s="3">
        <f t="shared" si="10"/>
        <v>1.21</v>
      </c>
      <c r="H66" s="3">
        <f t="shared" si="10"/>
        <v>32.191565999999995</v>
      </c>
      <c r="I66" s="3">
        <f t="shared" si="10"/>
        <v>0.01</v>
      </c>
      <c r="J66" s="3">
        <f t="shared" si="10"/>
        <v>0.266046</v>
      </c>
      <c r="K66" s="3">
        <f t="shared" si="10"/>
        <v>0</v>
      </c>
      <c r="L66" s="3">
        <f t="shared" si="10"/>
        <v>0</v>
      </c>
      <c r="M66" s="3">
        <f t="shared" si="10"/>
        <v>5.36</v>
      </c>
      <c r="N66" s="3">
        <f t="shared" si="10"/>
        <v>142.60065600000001</v>
      </c>
      <c r="O66" s="3">
        <f t="shared" si="10"/>
        <v>0.57999999999999996</v>
      </c>
      <c r="P66" s="3">
        <f t="shared" si="10"/>
        <v>15.430667999999999</v>
      </c>
      <c r="Q66" s="3">
        <f t="shared" si="10"/>
        <v>69</v>
      </c>
      <c r="R66" s="3">
        <f t="shared" si="10"/>
        <v>0</v>
      </c>
      <c r="S66" s="3">
        <f t="shared" si="10"/>
        <v>0</v>
      </c>
      <c r="T66" s="3" t="str">
        <f t="shared" si="10"/>
        <v/>
      </c>
      <c r="U66" s="3" t="str">
        <f t="shared" si="10"/>
        <v/>
      </c>
      <c r="V66" s="3">
        <f t="shared" si="10"/>
        <v>7.15</v>
      </c>
      <c r="W66" s="3" t="str">
        <f t="shared" si="10"/>
        <v/>
      </c>
      <c r="X66" s="3" t="str">
        <f t="shared" si="10"/>
        <v/>
      </c>
    </row>
    <row r="67" spans="1:24" hidden="1" x14ac:dyDescent="0.2">
      <c r="A67" s="4" t="s">
        <v>75</v>
      </c>
      <c r="B67" s="3">
        <f t="shared" ref="B67:X67" si="11">IF(LEFT(B21,1) = "&lt;",0, IF(ISBLANK(B21),"",B21))</f>
        <v>3.19</v>
      </c>
      <c r="C67" s="3">
        <f t="shared" si="11"/>
        <v>17.03</v>
      </c>
      <c r="D67" s="3">
        <f t="shared" si="11"/>
        <v>453.07633800000002</v>
      </c>
      <c r="E67" s="3">
        <f t="shared" si="11"/>
        <v>11</v>
      </c>
      <c r="F67" s="3">
        <f t="shared" si="11"/>
        <v>292.65059999999994</v>
      </c>
      <c r="G67" s="3">
        <f t="shared" si="11"/>
        <v>0.75</v>
      </c>
      <c r="H67" s="3">
        <f t="shared" si="11"/>
        <v>19.95345</v>
      </c>
      <c r="I67" s="3">
        <f t="shared" si="11"/>
        <v>0.02</v>
      </c>
      <c r="J67" s="3">
        <f t="shared" si="11"/>
        <v>0.53209200000000001</v>
      </c>
      <c r="K67" s="3">
        <f t="shared" si="11"/>
        <v>0</v>
      </c>
      <c r="L67" s="3">
        <f t="shared" si="11"/>
        <v>0</v>
      </c>
      <c r="M67" s="3" t="str">
        <f t="shared" si="11"/>
        <v/>
      </c>
      <c r="N67" s="3" t="str">
        <f t="shared" si="11"/>
        <v/>
      </c>
      <c r="O67" s="3" t="str">
        <f t="shared" si="11"/>
        <v/>
      </c>
      <c r="P67" s="3" t="str">
        <f t="shared" si="11"/>
        <v/>
      </c>
      <c r="Q67" s="3">
        <f t="shared" si="11"/>
        <v>69.400000000000006</v>
      </c>
      <c r="R67" s="3">
        <f t="shared" si="11"/>
        <v>0</v>
      </c>
      <c r="S67" s="3">
        <f t="shared" si="11"/>
        <v>0</v>
      </c>
      <c r="T67" s="3" t="str">
        <f t="shared" si="11"/>
        <v/>
      </c>
      <c r="U67" s="3" t="str">
        <f t="shared" si="11"/>
        <v/>
      </c>
      <c r="V67" s="3">
        <f t="shared" si="11"/>
        <v>7.63</v>
      </c>
      <c r="W67" s="3" t="str">
        <f t="shared" si="11"/>
        <v/>
      </c>
      <c r="X67" s="3" t="str">
        <f t="shared" si="11"/>
        <v/>
      </c>
    </row>
    <row r="68" spans="1:24" hidden="1" x14ac:dyDescent="0.2">
      <c r="A68" s="4" t="s">
        <v>76</v>
      </c>
      <c r="B68" s="3">
        <f t="shared" ref="B68:X68" si="12">IF(LEFT(B22,1) = "&lt;",0, IF(ISBLANK(B22),"",B22))</f>
        <v>4.5</v>
      </c>
      <c r="C68" s="3">
        <f t="shared" si="12"/>
        <v>34.08</v>
      </c>
      <c r="D68" s="3">
        <f t="shared" si="12"/>
        <v>1279.0223999999998</v>
      </c>
      <c r="E68" s="3">
        <f t="shared" si="12"/>
        <v>13</v>
      </c>
      <c r="F68" s="3">
        <f t="shared" si="12"/>
        <v>487.89</v>
      </c>
      <c r="G68" s="3">
        <f t="shared" si="12"/>
        <v>0.23</v>
      </c>
      <c r="H68" s="3">
        <f t="shared" si="12"/>
        <v>8.6319000000000017</v>
      </c>
      <c r="I68" s="3">
        <f t="shared" si="12"/>
        <v>0.01</v>
      </c>
      <c r="J68" s="3">
        <f t="shared" si="12"/>
        <v>0.37529999999999997</v>
      </c>
      <c r="K68" s="3">
        <f t="shared" si="12"/>
        <v>0</v>
      </c>
      <c r="L68" s="3">
        <f t="shared" si="12"/>
        <v>0</v>
      </c>
      <c r="M68" s="3" t="str">
        <f t="shared" si="12"/>
        <v/>
      </c>
      <c r="N68" s="3" t="str">
        <f t="shared" si="12"/>
        <v/>
      </c>
      <c r="O68" s="3" t="str">
        <f t="shared" si="12"/>
        <v/>
      </c>
      <c r="P68" s="3" t="str">
        <f t="shared" si="12"/>
        <v/>
      </c>
      <c r="Q68" s="3">
        <f t="shared" si="12"/>
        <v>62.2</v>
      </c>
      <c r="R68" s="3">
        <f t="shared" si="12"/>
        <v>0</v>
      </c>
      <c r="S68" s="3">
        <f t="shared" si="12"/>
        <v>0</v>
      </c>
      <c r="T68" s="3" t="str">
        <f t="shared" si="12"/>
        <v/>
      </c>
      <c r="U68" s="3" t="str">
        <f t="shared" si="12"/>
        <v/>
      </c>
      <c r="V68" s="3">
        <f t="shared" si="12"/>
        <v>7.71</v>
      </c>
      <c r="W68" s="3" t="str">
        <f t="shared" si="12"/>
        <v/>
      </c>
      <c r="X68" s="3" t="str">
        <f t="shared" si="12"/>
        <v/>
      </c>
    </row>
    <row r="69" spans="1:24" hidden="1" x14ac:dyDescent="0.2">
      <c r="A69" s="4" t="s">
        <v>77</v>
      </c>
      <c r="B69" s="3">
        <f t="shared" ref="B69:X69" si="13">IF(LEFT(B23,1) = "&lt;",0, IF(ISBLANK(B23),"",B23))</f>
        <v>4.0999999999999996</v>
      </c>
      <c r="C69" s="3">
        <f t="shared" si="13"/>
        <v>36.72</v>
      </c>
      <c r="D69" s="3">
        <f t="shared" si="13"/>
        <v>1255.6036799999999</v>
      </c>
      <c r="E69" s="3">
        <f t="shared" si="13"/>
        <v>21</v>
      </c>
      <c r="F69" s="3">
        <f t="shared" si="13"/>
        <v>718.07399999999996</v>
      </c>
      <c r="G69" s="3">
        <f t="shared" si="13"/>
        <v>0.7</v>
      </c>
      <c r="H69" s="3">
        <f t="shared" si="13"/>
        <v>23.935799999999997</v>
      </c>
      <c r="I69" s="3">
        <f t="shared" si="13"/>
        <v>0.01</v>
      </c>
      <c r="J69" s="3">
        <f t="shared" si="13"/>
        <v>0.34193999999999997</v>
      </c>
      <c r="K69" s="3">
        <f t="shared" si="13"/>
        <v>0</v>
      </c>
      <c r="L69" s="3">
        <f t="shared" si="13"/>
        <v>0</v>
      </c>
      <c r="M69" s="3" t="str">
        <f t="shared" si="13"/>
        <v/>
      </c>
      <c r="N69" s="3" t="str">
        <f t="shared" si="13"/>
        <v/>
      </c>
      <c r="O69" s="3" t="str">
        <f t="shared" si="13"/>
        <v/>
      </c>
      <c r="P69" s="3" t="str">
        <f t="shared" si="13"/>
        <v/>
      </c>
      <c r="Q69" s="3">
        <f t="shared" si="13"/>
        <v>71</v>
      </c>
      <c r="R69" s="3">
        <f t="shared" si="13"/>
        <v>0</v>
      </c>
      <c r="S69" s="3">
        <f t="shared" si="13"/>
        <v>0</v>
      </c>
      <c r="T69" s="3" t="str">
        <f t="shared" si="13"/>
        <v/>
      </c>
      <c r="U69" s="3" t="str">
        <f t="shared" si="13"/>
        <v/>
      </c>
      <c r="V69" s="3">
        <f t="shared" si="13"/>
        <v>12.4</v>
      </c>
      <c r="W69" s="3" t="str">
        <f t="shared" si="13"/>
        <v/>
      </c>
      <c r="X69" s="3" t="str">
        <f t="shared" si="13"/>
        <v/>
      </c>
    </row>
    <row r="70" spans="1:24" hidden="1" x14ac:dyDescent="0.2">
      <c r="A70" s="4" t="s">
        <v>78</v>
      </c>
      <c r="B70" s="3">
        <f t="shared" ref="B70:X70" si="14">IF(LEFT(B24,1) = "&lt;",0, IF(ISBLANK(B24),"",B24))</f>
        <v>3.42</v>
      </c>
      <c r="C70" s="3">
        <f t="shared" si="14"/>
        <v>28.16</v>
      </c>
      <c r="D70" s="3">
        <f t="shared" si="14"/>
        <v>803.20204799999999</v>
      </c>
      <c r="E70" s="3">
        <f t="shared" si="14"/>
        <v>56</v>
      </c>
      <c r="F70" s="3">
        <f t="shared" si="14"/>
        <v>1597.2767999999999</v>
      </c>
      <c r="G70" s="3">
        <f t="shared" si="14"/>
        <v>0.3</v>
      </c>
      <c r="H70" s="3">
        <f t="shared" si="14"/>
        <v>8.5568399999999993</v>
      </c>
      <c r="I70" s="3">
        <f t="shared" si="14"/>
        <v>0.01</v>
      </c>
      <c r="J70" s="3">
        <f t="shared" si="14"/>
        <v>0.28522799999999998</v>
      </c>
      <c r="K70" s="3">
        <f t="shared" si="14"/>
        <v>0</v>
      </c>
      <c r="L70" s="3">
        <f t="shared" si="14"/>
        <v>0</v>
      </c>
      <c r="M70" s="3" t="str">
        <f t="shared" si="14"/>
        <v/>
      </c>
      <c r="N70" s="3" t="str">
        <f t="shared" si="14"/>
        <v/>
      </c>
      <c r="O70" s="3" t="str">
        <f t="shared" si="14"/>
        <v/>
      </c>
      <c r="P70" s="3" t="str">
        <f t="shared" si="14"/>
        <v/>
      </c>
      <c r="Q70" s="3">
        <f t="shared" si="14"/>
        <v>75</v>
      </c>
      <c r="R70" s="3">
        <f t="shared" si="14"/>
        <v>0</v>
      </c>
      <c r="S70" s="3">
        <f t="shared" si="14"/>
        <v>0</v>
      </c>
      <c r="T70" s="3" t="str">
        <f t="shared" si="14"/>
        <v/>
      </c>
      <c r="U70" s="3" t="str">
        <f t="shared" si="14"/>
        <v/>
      </c>
      <c r="V70" s="3">
        <f t="shared" si="14"/>
        <v>7.6</v>
      </c>
      <c r="W70" s="3" t="str">
        <f t="shared" si="14"/>
        <v/>
      </c>
      <c r="X70" s="3" t="str">
        <f t="shared" si="14"/>
        <v/>
      </c>
    </row>
    <row r="71" spans="1:24" hidden="1" x14ac:dyDescent="0.2">
      <c r="A71" s="4" t="s">
        <v>79</v>
      </c>
      <c r="B71" s="3">
        <f t="shared" ref="B71:X71" si="15">IF(LEFT(B25,1) = "&lt;",0, IF(ISBLANK(B25),"",B25))</f>
        <v>3.89</v>
      </c>
      <c r="C71" s="3">
        <f t="shared" si="15"/>
        <v>3.57</v>
      </c>
      <c r="D71" s="3">
        <f t="shared" si="15"/>
        <v>115.820082</v>
      </c>
      <c r="E71" s="3">
        <f t="shared" si="15"/>
        <v>48</v>
      </c>
      <c r="F71" s="3">
        <f t="shared" si="15"/>
        <v>1557.2447999999999</v>
      </c>
      <c r="G71" s="3">
        <f t="shared" si="15"/>
        <v>0.36</v>
      </c>
      <c r="H71" s="3">
        <f t="shared" si="15"/>
        <v>11.679336000000001</v>
      </c>
      <c r="I71" s="3">
        <f t="shared" si="15"/>
        <v>0.02</v>
      </c>
      <c r="J71" s="3">
        <f t="shared" si="15"/>
        <v>0.6488520000000001</v>
      </c>
      <c r="K71" s="3">
        <f t="shared" si="15"/>
        <v>0</v>
      </c>
      <c r="L71" s="3">
        <f t="shared" si="15"/>
        <v>0</v>
      </c>
      <c r="M71" s="3" t="str">
        <f t="shared" si="15"/>
        <v/>
      </c>
      <c r="N71" s="3" t="str">
        <f t="shared" si="15"/>
        <v/>
      </c>
      <c r="O71" s="3" t="str">
        <f t="shared" si="15"/>
        <v/>
      </c>
      <c r="P71" s="3" t="str">
        <f t="shared" si="15"/>
        <v/>
      </c>
      <c r="Q71" s="3">
        <f t="shared" si="15"/>
        <v>75</v>
      </c>
      <c r="R71" s="3">
        <f t="shared" si="15"/>
        <v>0</v>
      </c>
      <c r="S71" s="3">
        <f t="shared" si="15"/>
        <v>0</v>
      </c>
      <c r="T71" s="3" t="str">
        <f t="shared" si="15"/>
        <v/>
      </c>
      <c r="U71" s="3" t="str">
        <f t="shared" si="15"/>
        <v/>
      </c>
      <c r="V71" s="3">
        <f t="shared" si="15"/>
        <v>7.4</v>
      </c>
      <c r="W71" s="3" t="str">
        <f t="shared" si="15"/>
        <v/>
      </c>
      <c r="X71" s="3" t="str">
        <f t="shared" si="15"/>
        <v/>
      </c>
    </row>
    <row r="72" spans="1:24" hidden="1" x14ac:dyDescent="0.2">
      <c r="A72" s="4" t="s">
        <v>80</v>
      </c>
      <c r="B72" s="3">
        <f t="shared" ref="B72:X72" si="16">IF(LEFT(B26,1) = "&lt;",0, IF(ISBLANK(B26),"",B26))</f>
        <v>4.08</v>
      </c>
      <c r="C72" s="3">
        <f t="shared" si="16"/>
        <v>60.34</v>
      </c>
      <c r="D72" s="3">
        <f t="shared" si="16"/>
        <v>2053.2012480000003</v>
      </c>
      <c r="E72" s="3">
        <f t="shared" si="16"/>
        <v>37</v>
      </c>
      <c r="F72" s="3">
        <f t="shared" si="16"/>
        <v>1259.0064</v>
      </c>
      <c r="G72" s="3">
        <f t="shared" si="16"/>
        <v>0.21</v>
      </c>
      <c r="H72" s="3">
        <f t="shared" si="16"/>
        <v>7.1457119999999996</v>
      </c>
      <c r="I72" s="3">
        <f t="shared" si="16"/>
        <v>0.02</v>
      </c>
      <c r="J72" s="3">
        <f t="shared" si="16"/>
        <v>0.68054400000000004</v>
      </c>
      <c r="K72" s="3">
        <f t="shared" si="16"/>
        <v>0</v>
      </c>
      <c r="L72" s="3">
        <f t="shared" si="16"/>
        <v>0</v>
      </c>
      <c r="M72" s="3">
        <f t="shared" si="16"/>
        <v>10.36</v>
      </c>
      <c r="N72" s="3">
        <f t="shared" si="16"/>
        <v>352.521792</v>
      </c>
      <c r="O72" s="3">
        <f t="shared" si="16"/>
        <v>1.4</v>
      </c>
      <c r="P72" s="3">
        <f t="shared" si="16"/>
        <v>47.638079999999995</v>
      </c>
      <c r="Q72" s="3">
        <f t="shared" si="16"/>
        <v>72</v>
      </c>
      <c r="R72" s="3">
        <f t="shared" si="16"/>
        <v>0</v>
      </c>
      <c r="S72" s="3">
        <f t="shared" si="16"/>
        <v>0</v>
      </c>
      <c r="T72" s="3" t="str">
        <f t="shared" si="16"/>
        <v/>
      </c>
      <c r="U72" s="3" t="str">
        <f t="shared" si="16"/>
        <v/>
      </c>
      <c r="V72" s="3">
        <f t="shared" si="16"/>
        <v>7.1</v>
      </c>
      <c r="W72" s="3" t="str">
        <f t="shared" si="16"/>
        <v/>
      </c>
      <c r="X72" s="3" t="str">
        <f t="shared" si="16"/>
        <v/>
      </c>
    </row>
    <row r="73" spans="1:24" hidden="1" x14ac:dyDescent="0.2">
      <c r="A73" s="4" t="s">
        <v>81</v>
      </c>
      <c r="B73" s="3">
        <f t="shared" ref="B73:X73" si="17">IF(LEFT(B27,1) = "&lt;",0, IF(ISBLANK(B27),"",B27))</f>
        <v>4.1900000000000004</v>
      </c>
      <c r="C73" s="3">
        <f t="shared" si="17"/>
        <v>39.51</v>
      </c>
      <c r="D73" s="3">
        <f t="shared" si="17"/>
        <v>1380.6611459999999</v>
      </c>
      <c r="E73" s="3">
        <f t="shared" si="17"/>
        <v>21</v>
      </c>
      <c r="F73" s="3">
        <f t="shared" si="17"/>
        <v>733.83660000000009</v>
      </c>
      <c r="G73" s="3">
        <f t="shared" si="17"/>
        <v>0.32</v>
      </c>
      <c r="H73" s="3">
        <f t="shared" si="17"/>
        <v>11.182272000000001</v>
      </c>
      <c r="I73" s="3">
        <f t="shared" si="17"/>
        <v>0.02</v>
      </c>
      <c r="J73" s="3">
        <f t="shared" si="17"/>
        <v>0.69889200000000007</v>
      </c>
      <c r="K73" s="3">
        <f t="shared" si="17"/>
        <v>0</v>
      </c>
      <c r="L73" s="3">
        <f t="shared" si="17"/>
        <v>0</v>
      </c>
      <c r="M73" s="3" t="str">
        <f t="shared" si="17"/>
        <v/>
      </c>
      <c r="N73" s="3" t="str">
        <f t="shared" si="17"/>
        <v/>
      </c>
      <c r="O73" s="3" t="str">
        <f t="shared" si="17"/>
        <v/>
      </c>
      <c r="P73" s="3" t="str">
        <f t="shared" si="17"/>
        <v/>
      </c>
      <c r="Q73" s="3">
        <f t="shared" si="17"/>
        <v>73</v>
      </c>
      <c r="R73" s="3">
        <f t="shared" si="17"/>
        <v>0</v>
      </c>
      <c r="S73" s="3">
        <f t="shared" si="17"/>
        <v>0</v>
      </c>
      <c r="T73" s="3" t="str">
        <f t="shared" si="17"/>
        <v/>
      </c>
      <c r="U73" s="3" t="str">
        <f t="shared" si="17"/>
        <v/>
      </c>
      <c r="V73" s="3">
        <f t="shared" si="17"/>
        <v>7.1</v>
      </c>
      <c r="W73" s="3" t="str">
        <f t="shared" si="17"/>
        <v/>
      </c>
      <c r="X73" s="3" t="str">
        <f t="shared" si="17"/>
        <v/>
      </c>
    </row>
    <row r="74" spans="1:24" hidden="1" x14ac:dyDescent="0.2">
      <c r="A74" s="4" t="s">
        <v>82</v>
      </c>
      <c r="B74" s="3">
        <f t="shared" ref="B74:X74" si="18">IF(LEFT(B28,1) = "&lt;",0, IF(ISBLANK(B28),"",B28))</f>
        <v>3.68</v>
      </c>
      <c r="C74" s="3">
        <f t="shared" si="18"/>
        <v>20.09</v>
      </c>
      <c r="D74" s="3">
        <f t="shared" si="18"/>
        <v>616.58620800000006</v>
      </c>
      <c r="E74" s="3">
        <f t="shared" si="18"/>
        <v>14</v>
      </c>
      <c r="F74" s="3">
        <f t="shared" si="18"/>
        <v>429.67680000000001</v>
      </c>
      <c r="G74" s="3">
        <f t="shared" si="18"/>
        <v>0.24</v>
      </c>
      <c r="H74" s="3">
        <f t="shared" si="18"/>
        <v>7.365888</v>
      </c>
      <c r="I74" s="3">
        <f t="shared" si="18"/>
        <v>0.01</v>
      </c>
      <c r="J74" s="3">
        <f t="shared" si="18"/>
        <v>0.30691199999999996</v>
      </c>
      <c r="K74" s="3">
        <f t="shared" si="18"/>
        <v>0</v>
      </c>
      <c r="L74" s="3">
        <f t="shared" si="18"/>
        <v>0</v>
      </c>
      <c r="M74" s="3" t="str">
        <f t="shared" si="18"/>
        <v/>
      </c>
      <c r="N74" s="3" t="str">
        <f t="shared" si="18"/>
        <v/>
      </c>
      <c r="O74" s="3" t="str">
        <f t="shared" si="18"/>
        <v/>
      </c>
      <c r="P74" s="3" t="str">
        <f t="shared" si="18"/>
        <v/>
      </c>
      <c r="Q74" s="3">
        <f t="shared" si="18"/>
        <v>73</v>
      </c>
      <c r="R74" s="3">
        <f t="shared" si="18"/>
        <v>0</v>
      </c>
      <c r="S74" s="3">
        <f t="shared" si="18"/>
        <v>0</v>
      </c>
      <c r="T74" s="3" t="str">
        <f t="shared" si="18"/>
        <v/>
      </c>
      <c r="U74" s="3" t="str">
        <f t="shared" si="18"/>
        <v/>
      </c>
      <c r="V74" s="3">
        <f t="shared" si="18"/>
        <v>7</v>
      </c>
      <c r="W74" s="3" t="str">
        <f t="shared" si="18"/>
        <v/>
      </c>
      <c r="X74" s="3" t="str">
        <f t="shared" si="18"/>
        <v/>
      </c>
    </row>
    <row r="75" spans="1:24" hidden="1" x14ac:dyDescent="0.2">
      <c r="A75" s="4" t="s">
        <v>83</v>
      </c>
      <c r="B75" s="3">
        <f t="shared" ref="B75:X75" si="19">IF(LEFT(B29,1) = "&lt;",0, IF(ISBLANK(B29),"",B29))</f>
        <v>4.29</v>
      </c>
      <c r="C75" s="3">
        <f t="shared" si="19"/>
        <v>32.4</v>
      </c>
      <c r="D75" s="3">
        <f t="shared" si="19"/>
        <v>1159.2266399999999</v>
      </c>
      <c r="E75" s="3">
        <f t="shared" si="19"/>
        <v>16</v>
      </c>
      <c r="F75" s="3">
        <f t="shared" si="19"/>
        <v>572.45759999999996</v>
      </c>
      <c r="G75" s="3">
        <f t="shared" si="19"/>
        <v>0.22</v>
      </c>
      <c r="H75" s="3">
        <f t="shared" si="19"/>
        <v>7.8712919999999995</v>
      </c>
      <c r="I75" s="3">
        <f t="shared" si="19"/>
        <v>0.02</v>
      </c>
      <c r="J75" s="3">
        <f t="shared" si="19"/>
        <v>0.71557199999999999</v>
      </c>
      <c r="K75" s="3">
        <f t="shared" si="19"/>
        <v>0</v>
      </c>
      <c r="L75" s="3">
        <f t="shared" si="19"/>
        <v>0</v>
      </c>
      <c r="M75" s="3" t="str">
        <f t="shared" si="19"/>
        <v/>
      </c>
      <c r="N75" s="3" t="str">
        <f t="shared" si="19"/>
        <v/>
      </c>
      <c r="O75" s="3" t="str">
        <f t="shared" si="19"/>
        <v/>
      </c>
      <c r="P75" s="3" t="str">
        <f t="shared" si="19"/>
        <v/>
      </c>
      <c r="Q75" s="3">
        <f t="shared" si="19"/>
        <v>72</v>
      </c>
      <c r="R75" s="3">
        <f t="shared" si="19"/>
        <v>0</v>
      </c>
      <c r="S75" s="3">
        <f t="shared" si="19"/>
        <v>0</v>
      </c>
      <c r="T75" s="3" t="str">
        <f t="shared" si="19"/>
        <v/>
      </c>
      <c r="U75" s="3" t="str">
        <f t="shared" si="19"/>
        <v/>
      </c>
      <c r="V75" s="3">
        <f t="shared" si="19"/>
        <v>7.23</v>
      </c>
      <c r="W75" s="3" t="str">
        <f t="shared" si="19"/>
        <v/>
      </c>
      <c r="X75" s="3" t="str">
        <f t="shared" si="19"/>
        <v/>
      </c>
    </row>
    <row r="76" spans="1:24" hidden="1" x14ac:dyDescent="0.2">
      <c r="A76" s="4" t="s">
        <v>84</v>
      </c>
      <c r="B76" s="3">
        <f t="shared" ref="B76:X76" si="20">IF(LEFT(B30,1) = "&lt;",0, IF(ISBLANK(B30),"",B30))</f>
        <v>3.83</v>
      </c>
      <c r="C76" s="3">
        <f t="shared" si="20"/>
        <v>33.76</v>
      </c>
      <c r="D76" s="3">
        <f t="shared" si="20"/>
        <v>1078.3686719999998</v>
      </c>
      <c r="E76" s="3">
        <f t="shared" si="20"/>
        <v>31</v>
      </c>
      <c r="F76" s="3">
        <f t="shared" si="20"/>
        <v>990.20820000000003</v>
      </c>
      <c r="G76" s="3">
        <f t="shared" si="20"/>
        <v>0.21</v>
      </c>
      <c r="H76" s="3">
        <f t="shared" si="20"/>
        <v>6.7078620000000004</v>
      </c>
      <c r="I76" s="3">
        <f t="shared" si="20"/>
        <v>0.05</v>
      </c>
      <c r="J76" s="3">
        <f t="shared" si="20"/>
        <v>1.59711</v>
      </c>
      <c r="K76" s="3">
        <f t="shared" si="20"/>
        <v>0</v>
      </c>
      <c r="L76" s="3">
        <f t="shared" si="20"/>
        <v>0</v>
      </c>
      <c r="M76" s="3" t="str">
        <f t="shared" si="20"/>
        <v/>
      </c>
      <c r="N76" s="3" t="str">
        <f t="shared" si="20"/>
        <v/>
      </c>
      <c r="O76" s="3" t="str">
        <f t="shared" si="20"/>
        <v/>
      </c>
      <c r="P76" s="3" t="str">
        <f t="shared" si="20"/>
        <v/>
      </c>
      <c r="Q76" s="3">
        <f t="shared" si="20"/>
        <v>69</v>
      </c>
      <c r="R76" s="3">
        <f t="shared" si="20"/>
        <v>0</v>
      </c>
      <c r="S76" s="3">
        <f t="shared" si="20"/>
        <v>0</v>
      </c>
      <c r="T76" s="3" t="str">
        <f t="shared" si="20"/>
        <v/>
      </c>
      <c r="U76" s="3" t="str">
        <f t="shared" si="20"/>
        <v/>
      </c>
      <c r="V76" s="3">
        <f t="shared" si="20"/>
        <v>7.1</v>
      </c>
      <c r="W76" s="3" t="str">
        <f t="shared" si="20"/>
        <v/>
      </c>
      <c r="X76" s="3" t="str">
        <f t="shared" si="20"/>
        <v/>
      </c>
    </row>
    <row r="77" spans="1:24" hidden="1" x14ac:dyDescent="0.2">
      <c r="A77" s="4" t="s">
        <v>85</v>
      </c>
      <c r="B77" s="3">
        <f t="shared" ref="B77:X77" si="21">IF(LEFT(B31,1) = "&lt;",0, IF(ISBLANK(B31),"",B31))</f>
        <v>3.98</v>
      </c>
      <c r="C77" s="3">
        <f t="shared" si="21"/>
        <v>49.37</v>
      </c>
      <c r="D77" s="3">
        <f t="shared" si="21"/>
        <v>1638.7482839999998</v>
      </c>
      <c r="E77" s="3">
        <f t="shared" si="21"/>
        <v>12</v>
      </c>
      <c r="F77" s="3">
        <f t="shared" si="21"/>
        <v>398.3184</v>
      </c>
      <c r="G77" s="3">
        <f t="shared" si="21"/>
        <v>0.28000000000000003</v>
      </c>
      <c r="H77" s="3">
        <f t="shared" si="21"/>
        <v>9.2940959999999997</v>
      </c>
      <c r="I77" s="3">
        <f t="shared" si="21"/>
        <v>0.03</v>
      </c>
      <c r="J77" s="3">
        <f t="shared" si="21"/>
        <v>0.9957959999999999</v>
      </c>
      <c r="K77" s="3">
        <f t="shared" si="21"/>
        <v>0</v>
      </c>
      <c r="L77" s="3">
        <f t="shared" si="21"/>
        <v>0</v>
      </c>
      <c r="M77" s="3" t="str">
        <f t="shared" si="21"/>
        <v/>
      </c>
      <c r="N77" s="3" t="str">
        <f t="shared" si="21"/>
        <v/>
      </c>
      <c r="O77" s="3" t="str">
        <f t="shared" si="21"/>
        <v/>
      </c>
      <c r="P77" s="3" t="str">
        <f t="shared" si="21"/>
        <v/>
      </c>
      <c r="Q77" s="3">
        <f t="shared" si="21"/>
        <v>67</v>
      </c>
      <c r="R77" s="3">
        <f t="shared" si="21"/>
        <v>0</v>
      </c>
      <c r="S77" s="3">
        <f t="shared" si="21"/>
        <v>0</v>
      </c>
      <c r="T77" s="3" t="str">
        <f t="shared" si="21"/>
        <v/>
      </c>
      <c r="U77" s="3" t="str">
        <f t="shared" si="21"/>
        <v/>
      </c>
      <c r="V77" s="3">
        <f t="shared" si="21"/>
        <v>7.3</v>
      </c>
      <c r="W77" s="3">
        <f t="shared" si="21"/>
        <v>1</v>
      </c>
      <c r="X77" s="3">
        <f t="shared" si="21"/>
        <v>1</v>
      </c>
    </row>
    <row r="78" spans="1:24" hidden="1" x14ac:dyDescent="0.2">
      <c r="A78" s="4" t="s">
        <v>86</v>
      </c>
      <c r="B78" s="3">
        <f t="shared" ref="B78:X78" si="22">IF(LEFT(B32,1) = "&lt;",0, IF(ISBLANK(B32),"",B32))</f>
        <v>4.45</v>
      </c>
      <c r="C78" s="3">
        <f t="shared" si="22"/>
        <v>28.46</v>
      </c>
      <c r="D78" s="3">
        <f t="shared" si="22"/>
        <v>1056.2359799999999</v>
      </c>
      <c r="E78" s="3">
        <f t="shared" si="22"/>
        <v>11</v>
      </c>
      <c r="F78" s="3">
        <f t="shared" si="22"/>
        <v>408.24299999999999</v>
      </c>
      <c r="G78" s="3">
        <f t="shared" si="22"/>
        <v>0.51</v>
      </c>
      <c r="H78" s="3">
        <f t="shared" si="22"/>
        <v>18.927630000000001</v>
      </c>
      <c r="I78" s="3">
        <f t="shared" si="22"/>
        <v>0.02</v>
      </c>
      <c r="J78" s="3">
        <f t="shared" si="22"/>
        <v>0.74226000000000003</v>
      </c>
      <c r="K78" s="3">
        <f t="shared" si="22"/>
        <v>0</v>
      </c>
      <c r="L78" s="3">
        <f t="shared" si="22"/>
        <v>0</v>
      </c>
      <c r="M78" s="3" t="str">
        <f t="shared" si="22"/>
        <v/>
      </c>
      <c r="N78" s="3" t="str">
        <f t="shared" si="22"/>
        <v/>
      </c>
      <c r="O78" s="3" t="str">
        <f t="shared" si="22"/>
        <v/>
      </c>
      <c r="P78" s="3" t="str">
        <f t="shared" si="22"/>
        <v/>
      </c>
      <c r="Q78" s="3">
        <f t="shared" si="22"/>
        <v>65</v>
      </c>
      <c r="R78" s="3">
        <f t="shared" si="22"/>
        <v>0</v>
      </c>
      <c r="S78" s="3">
        <f t="shared" si="22"/>
        <v>0</v>
      </c>
      <c r="T78" s="3" t="str">
        <f t="shared" si="22"/>
        <v/>
      </c>
      <c r="U78" s="3" t="str">
        <f t="shared" si="22"/>
        <v/>
      </c>
      <c r="V78" s="3">
        <f t="shared" si="22"/>
        <v>7</v>
      </c>
      <c r="W78" s="3" t="str">
        <f t="shared" si="22"/>
        <v/>
      </c>
      <c r="X78" s="3" t="str">
        <f t="shared" si="22"/>
        <v/>
      </c>
    </row>
    <row r="79" spans="1:24" hidden="1" x14ac:dyDescent="0.2">
      <c r="A79" s="4" t="s">
        <v>87</v>
      </c>
      <c r="B79" s="3">
        <f t="shared" ref="B79:X79" si="23">IF(LEFT(B33,1) = "&lt;",0, IF(ISBLANK(B33),"",B33))</f>
        <v>4.09</v>
      </c>
      <c r="C79" s="3">
        <f t="shared" si="23"/>
        <v>23.16</v>
      </c>
      <c r="D79" s="3">
        <f t="shared" si="23"/>
        <v>790.00149599999997</v>
      </c>
      <c r="E79" s="3">
        <f t="shared" si="23"/>
        <v>29</v>
      </c>
      <c r="F79" s="3">
        <f t="shared" si="23"/>
        <v>989.20740000000001</v>
      </c>
      <c r="G79" s="3">
        <f t="shared" si="23"/>
        <v>2.25</v>
      </c>
      <c r="H79" s="3">
        <f t="shared" si="23"/>
        <v>76.748850000000004</v>
      </c>
      <c r="I79" s="3">
        <f t="shared" si="23"/>
        <v>0.01</v>
      </c>
      <c r="J79" s="3">
        <f t="shared" si="23"/>
        <v>0.34110599999999996</v>
      </c>
      <c r="K79" s="3">
        <f t="shared" si="23"/>
        <v>0</v>
      </c>
      <c r="L79" s="3">
        <f t="shared" si="23"/>
        <v>0</v>
      </c>
      <c r="M79" s="3">
        <f t="shared" si="23"/>
        <v>5.85</v>
      </c>
      <c r="N79" s="3">
        <f t="shared" si="23"/>
        <v>199.54700999999997</v>
      </c>
      <c r="O79" s="3">
        <f t="shared" si="23"/>
        <v>0.49</v>
      </c>
      <c r="P79" s="3">
        <f t="shared" si="23"/>
        <v>16.714193999999999</v>
      </c>
      <c r="Q79" s="3">
        <f t="shared" si="23"/>
        <v>73</v>
      </c>
      <c r="R79" s="3">
        <f t="shared" si="23"/>
        <v>0</v>
      </c>
      <c r="S79" s="3">
        <f t="shared" si="23"/>
        <v>0</v>
      </c>
      <c r="T79" s="3" t="str">
        <f t="shared" si="23"/>
        <v/>
      </c>
      <c r="U79" s="3" t="str">
        <f t="shared" si="23"/>
        <v/>
      </c>
      <c r="V79" s="3">
        <f t="shared" si="23"/>
        <v>7</v>
      </c>
      <c r="W79" s="3" t="str">
        <f t="shared" si="23"/>
        <v/>
      </c>
      <c r="X79" s="3" t="str">
        <f t="shared" si="23"/>
        <v/>
      </c>
    </row>
    <row r="80" spans="1:24" hidden="1" x14ac:dyDescent="0.2">
      <c r="A80" s="4" t="s">
        <v>88</v>
      </c>
      <c r="B80" s="3">
        <f t="shared" ref="B80:X80" si="24">IF(LEFT(B34,1) = "&lt;",0, IF(ISBLANK(B34),"",B34))</f>
        <v>4.0999999999999996</v>
      </c>
      <c r="C80" s="3">
        <f t="shared" si="24"/>
        <v>12.59</v>
      </c>
      <c r="D80" s="3">
        <f t="shared" si="24"/>
        <v>430.50245999999993</v>
      </c>
      <c r="E80" s="3">
        <f t="shared" si="24"/>
        <v>13</v>
      </c>
      <c r="F80" s="3">
        <f t="shared" si="24"/>
        <v>444.52199999999999</v>
      </c>
      <c r="G80" s="3">
        <f t="shared" si="24"/>
        <v>0.97</v>
      </c>
      <c r="H80" s="3">
        <f t="shared" si="24"/>
        <v>33.168179999999992</v>
      </c>
      <c r="I80" s="3">
        <f t="shared" si="24"/>
        <v>0.02</v>
      </c>
      <c r="J80" s="3">
        <f t="shared" si="24"/>
        <v>0.68387999999999993</v>
      </c>
      <c r="K80" s="3">
        <f t="shared" si="24"/>
        <v>0</v>
      </c>
      <c r="L80" s="3">
        <f t="shared" si="24"/>
        <v>0</v>
      </c>
      <c r="M80" s="3" t="str">
        <f t="shared" si="24"/>
        <v/>
      </c>
      <c r="N80" s="3" t="str">
        <f t="shared" si="24"/>
        <v/>
      </c>
      <c r="O80" s="3" t="str">
        <f t="shared" si="24"/>
        <v/>
      </c>
      <c r="P80" s="3" t="str">
        <f t="shared" si="24"/>
        <v/>
      </c>
      <c r="Q80" s="3">
        <f t="shared" si="24"/>
        <v>74</v>
      </c>
      <c r="R80" s="3">
        <f t="shared" si="24"/>
        <v>0</v>
      </c>
      <c r="S80" s="3">
        <f t="shared" si="24"/>
        <v>0</v>
      </c>
      <c r="T80" s="3" t="str">
        <f t="shared" si="24"/>
        <v/>
      </c>
      <c r="U80" s="3" t="str">
        <f t="shared" si="24"/>
        <v/>
      </c>
      <c r="V80" s="3">
        <f t="shared" si="24"/>
        <v>7.2</v>
      </c>
      <c r="W80" s="3" t="str">
        <f t="shared" si="24"/>
        <v/>
      </c>
      <c r="X80" s="3" t="str">
        <f t="shared" si="24"/>
        <v/>
      </c>
    </row>
    <row r="81" spans="1:24" hidden="1" x14ac:dyDescent="0.2">
      <c r="A81" s="4" t="s">
        <v>89</v>
      </c>
      <c r="B81" s="3">
        <f t="shared" ref="B81:X81" si="25">IF(LEFT(B35,1) = "&lt;",0, IF(ISBLANK(B35),"",B35))</f>
        <v>4.4000000000000004</v>
      </c>
      <c r="C81" s="3">
        <f t="shared" si="25"/>
        <v>14.06</v>
      </c>
      <c r="D81" s="3">
        <f t="shared" si="25"/>
        <v>515.94576000000006</v>
      </c>
      <c r="E81" s="3">
        <f t="shared" si="25"/>
        <v>21</v>
      </c>
      <c r="F81" s="3">
        <f t="shared" si="25"/>
        <v>770.61599999999999</v>
      </c>
      <c r="G81" s="3">
        <f t="shared" si="25"/>
        <v>1.7</v>
      </c>
      <c r="H81" s="3">
        <f t="shared" si="25"/>
        <v>62.383200000000002</v>
      </c>
      <c r="I81" s="3">
        <f t="shared" si="25"/>
        <v>0.03</v>
      </c>
      <c r="J81" s="3">
        <f t="shared" si="25"/>
        <v>1.1008800000000001</v>
      </c>
      <c r="K81" s="3">
        <f t="shared" si="25"/>
        <v>0</v>
      </c>
      <c r="L81" s="3">
        <f t="shared" si="25"/>
        <v>0</v>
      </c>
      <c r="M81" s="3" t="str">
        <f t="shared" si="25"/>
        <v/>
      </c>
      <c r="N81" s="3" t="str">
        <f t="shared" si="25"/>
        <v/>
      </c>
      <c r="O81" s="3" t="str">
        <f t="shared" si="25"/>
        <v/>
      </c>
      <c r="P81" s="3" t="str">
        <f t="shared" si="25"/>
        <v/>
      </c>
      <c r="Q81" s="3">
        <f t="shared" si="25"/>
        <v>72</v>
      </c>
      <c r="R81" s="3">
        <f t="shared" si="25"/>
        <v>0</v>
      </c>
      <c r="S81" s="3">
        <f t="shared" si="25"/>
        <v>0</v>
      </c>
      <c r="T81" s="3" t="str">
        <f t="shared" si="25"/>
        <v/>
      </c>
      <c r="U81" s="3" t="str">
        <f t="shared" si="25"/>
        <v/>
      </c>
      <c r="V81" s="3">
        <f t="shared" si="25"/>
        <v>7.4</v>
      </c>
      <c r="W81" s="3" t="str">
        <f t="shared" si="25"/>
        <v/>
      </c>
      <c r="X81" s="3" t="str">
        <f t="shared" si="25"/>
        <v/>
      </c>
    </row>
    <row r="82" spans="1:24" hidden="1" x14ac:dyDescent="0.2">
      <c r="A82" s="4" t="s">
        <v>90</v>
      </c>
      <c r="B82" s="3">
        <f t="shared" ref="B82:X82" si="26">IF(LEFT(B36,1) = "&lt;",0, IF(ISBLANK(B36),"",B36))</f>
        <v>4.9800000000000004</v>
      </c>
      <c r="C82" s="3">
        <f t="shared" si="26"/>
        <v>27.23</v>
      </c>
      <c r="D82" s="3">
        <f t="shared" si="26"/>
        <v>1130.949036</v>
      </c>
      <c r="E82" s="3">
        <f t="shared" si="26"/>
        <v>44</v>
      </c>
      <c r="F82" s="3">
        <f t="shared" si="26"/>
        <v>1827.4608000000001</v>
      </c>
      <c r="G82" s="3">
        <f t="shared" si="26"/>
        <v>1.84</v>
      </c>
      <c r="H82" s="3">
        <f t="shared" si="26"/>
        <v>76.421088000000012</v>
      </c>
      <c r="I82" s="3">
        <f t="shared" si="26"/>
        <v>0.05</v>
      </c>
      <c r="J82" s="3">
        <f t="shared" si="26"/>
        <v>2.0766600000000004</v>
      </c>
      <c r="K82" s="3">
        <f t="shared" si="26"/>
        <v>0</v>
      </c>
      <c r="L82" s="3">
        <f t="shared" si="26"/>
        <v>0</v>
      </c>
      <c r="M82" s="3" t="str">
        <f t="shared" si="26"/>
        <v/>
      </c>
      <c r="N82" s="3" t="str">
        <f t="shared" si="26"/>
        <v/>
      </c>
      <c r="O82" s="3" t="str">
        <f t="shared" si="26"/>
        <v/>
      </c>
      <c r="P82" s="3" t="str">
        <f t="shared" si="26"/>
        <v/>
      </c>
      <c r="Q82" s="3">
        <f t="shared" si="26"/>
        <v>71</v>
      </c>
      <c r="R82" s="3">
        <f t="shared" si="26"/>
        <v>0</v>
      </c>
      <c r="S82" s="3">
        <f t="shared" si="26"/>
        <v>0</v>
      </c>
      <c r="T82" s="3" t="str">
        <f t="shared" si="26"/>
        <v/>
      </c>
      <c r="U82" s="3" t="str">
        <f t="shared" si="26"/>
        <v/>
      </c>
      <c r="V82" s="3">
        <f t="shared" si="26"/>
        <v>7.1</v>
      </c>
      <c r="W82" s="3" t="str">
        <f t="shared" si="26"/>
        <v/>
      </c>
      <c r="X82" s="3" t="str">
        <f t="shared" si="26"/>
        <v/>
      </c>
    </row>
    <row r="83" spans="1:24" hidden="1" x14ac:dyDescent="0.2">
      <c r="A83" s="4" t="s">
        <v>91</v>
      </c>
      <c r="B83" s="3">
        <f t="shared" ref="B83:X83" si="27">IF(LEFT(B37,1) = "&lt;",0, IF(ISBLANK(B37),"",B37))</f>
        <v>4.84</v>
      </c>
      <c r="C83" s="3">
        <f t="shared" si="27"/>
        <v>25.1</v>
      </c>
      <c r="D83" s="3">
        <f t="shared" si="27"/>
        <v>1013.1765600000001</v>
      </c>
      <c r="E83" s="3">
        <f t="shared" si="27"/>
        <v>35</v>
      </c>
      <c r="F83" s="3">
        <f t="shared" si="27"/>
        <v>1412.796</v>
      </c>
      <c r="G83" s="3">
        <f t="shared" si="27"/>
        <v>3.34</v>
      </c>
      <c r="H83" s="3">
        <f t="shared" si="27"/>
        <v>134.82110399999999</v>
      </c>
      <c r="I83" s="3">
        <f t="shared" si="27"/>
        <v>0.02</v>
      </c>
      <c r="J83" s="3">
        <f t="shared" si="27"/>
        <v>0.80731199999999992</v>
      </c>
      <c r="K83" s="3">
        <f t="shared" si="27"/>
        <v>0</v>
      </c>
      <c r="L83" s="3">
        <f t="shared" si="27"/>
        <v>0</v>
      </c>
      <c r="M83" s="3" t="str">
        <f t="shared" si="27"/>
        <v/>
      </c>
      <c r="N83" s="3" t="str">
        <f t="shared" si="27"/>
        <v/>
      </c>
      <c r="O83" s="3" t="str">
        <f t="shared" si="27"/>
        <v/>
      </c>
      <c r="P83" s="3" t="str">
        <f t="shared" si="27"/>
        <v/>
      </c>
      <c r="Q83" s="3">
        <f t="shared" si="27"/>
        <v>79</v>
      </c>
      <c r="R83" s="3">
        <f t="shared" si="27"/>
        <v>0</v>
      </c>
      <c r="S83" s="3">
        <f t="shared" si="27"/>
        <v>0</v>
      </c>
      <c r="T83" s="3" t="str">
        <f t="shared" si="27"/>
        <v/>
      </c>
      <c r="U83" s="3" t="str">
        <f t="shared" si="27"/>
        <v/>
      </c>
      <c r="V83" s="3">
        <f t="shared" si="27"/>
        <v>7</v>
      </c>
      <c r="W83" s="3" t="str">
        <f t="shared" si="27"/>
        <v/>
      </c>
      <c r="X83" s="3" t="str">
        <f t="shared" si="27"/>
        <v/>
      </c>
    </row>
    <row r="84" spans="1:24" hidden="1" x14ac:dyDescent="0.2">
      <c r="A84" s="4" t="s">
        <v>92</v>
      </c>
      <c r="B84" s="3">
        <f t="shared" ref="B84:X84" si="28">IF(LEFT(B38,1) = "&lt;",0, IF(ISBLANK(B38),"",B38))</f>
        <v>3.92</v>
      </c>
      <c r="C84" s="3">
        <f t="shared" si="28"/>
        <v>24.68</v>
      </c>
      <c r="D84" s="3">
        <f t="shared" si="28"/>
        <v>806.85830399999998</v>
      </c>
      <c r="E84" s="3">
        <f t="shared" si="28"/>
        <v>57</v>
      </c>
      <c r="F84" s="3">
        <f t="shared" si="28"/>
        <v>1863.4895999999999</v>
      </c>
      <c r="G84" s="3">
        <f t="shared" si="28"/>
        <v>1.63</v>
      </c>
      <c r="H84" s="3">
        <f t="shared" si="28"/>
        <v>53.289263999999996</v>
      </c>
      <c r="I84" s="3">
        <f t="shared" si="28"/>
        <v>0.06</v>
      </c>
      <c r="J84" s="3">
        <f t="shared" si="28"/>
        <v>1.961568</v>
      </c>
      <c r="K84" s="3">
        <f t="shared" si="28"/>
        <v>0</v>
      </c>
      <c r="L84" s="3">
        <f t="shared" si="28"/>
        <v>0</v>
      </c>
      <c r="M84" s="3" t="str">
        <f t="shared" si="28"/>
        <v/>
      </c>
      <c r="N84" s="3" t="str">
        <f t="shared" si="28"/>
        <v/>
      </c>
      <c r="O84" s="3" t="str">
        <f t="shared" si="28"/>
        <v/>
      </c>
      <c r="P84" s="3" t="str">
        <f t="shared" si="28"/>
        <v/>
      </c>
      <c r="Q84" s="3">
        <f t="shared" si="28"/>
        <v>78</v>
      </c>
      <c r="R84" s="3">
        <f t="shared" si="28"/>
        <v>0</v>
      </c>
      <c r="S84" s="3">
        <f t="shared" si="28"/>
        <v>0</v>
      </c>
      <c r="T84" s="3" t="str">
        <f t="shared" si="28"/>
        <v/>
      </c>
      <c r="U84" s="3" t="str">
        <f t="shared" si="28"/>
        <v/>
      </c>
      <c r="V84" s="3">
        <f t="shared" si="28"/>
        <v>7.1</v>
      </c>
      <c r="W84" s="3" t="str">
        <f t="shared" si="28"/>
        <v/>
      </c>
      <c r="X84" s="3" t="str">
        <f t="shared" si="28"/>
        <v/>
      </c>
    </row>
    <row r="85" spans="1:24" hidden="1" x14ac:dyDescent="0.2">
      <c r="A85" s="4" t="s">
        <v>93</v>
      </c>
      <c r="B85" s="3">
        <f t="shared" ref="B85:X85" si="29">IF(LEFT(B39,1) = "&lt;",0, IF(ISBLANK(B39),"",B39))</f>
        <v>4.04</v>
      </c>
      <c r="C85" s="3">
        <f t="shared" si="29"/>
        <v>65.52</v>
      </c>
      <c r="D85" s="3">
        <f t="shared" si="29"/>
        <v>2207.6046719999995</v>
      </c>
      <c r="E85" s="3">
        <f t="shared" si="29"/>
        <v>48</v>
      </c>
      <c r="F85" s="3">
        <f t="shared" si="29"/>
        <v>1617.2928000000002</v>
      </c>
      <c r="G85" s="3">
        <f t="shared" si="29"/>
        <v>1.0900000000000001</v>
      </c>
      <c r="H85" s="3">
        <f t="shared" si="29"/>
        <v>36.726024000000002</v>
      </c>
      <c r="I85" s="3">
        <f t="shared" si="29"/>
        <v>0.04</v>
      </c>
      <c r="J85" s="3">
        <f t="shared" si="29"/>
        <v>1.3477439999999998</v>
      </c>
      <c r="K85" s="3">
        <f t="shared" si="29"/>
        <v>0</v>
      </c>
      <c r="L85" s="3">
        <f t="shared" si="29"/>
        <v>0</v>
      </c>
      <c r="M85" s="3" t="str">
        <f t="shared" si="29"/>
        <v/>
      </c>
      <c r="N85" s="3" t="str">
        <f t="shared" si="29"/>
        <v/>
      </c>
      <c r="O85" s="3" t="str">
        <f t="shared" si="29"/>
        <v/>
      </c>
      <c r="P85" s="3" t="str">
        <f t="shared" si="29"/>
        <v/>
      </c>
      <c r="Q85" s="3">
        <f t="shared" si="29"/>
        <v>77</v>
      </c>
      <c r="R85" s="3">
        <f t="shared" si="29"/>
        <v>0</v>
      </c>
      <c r="S85" s="3">
        <f t="shared" si="29"/>
        <v>0</v>
      </c>
      <c r="T85" s="3" t="str">
        <f t="shared" si="29"/>
        <v/>
      </c>
      <c r="U85" s="3" t="str">
        <f t="shared" si="29"/>
        <v/>
      </c>
      <c r="V85" s="3">
        <f t="shared" si="29"/>
        <v>7.2</v>
      </c>
      <c r="W85" s="3" t="str">
        <f t="shared" si="29"/>
        <v/>
      </c>
      <c r="X85" s="3" t="str">
        <f t="shared" si="29"/>
        <v/>
      </c>
    </row>
    <row r="86" spans="1:24" hidden="1" x14ac:dyDescent="0.2">
      <c r="A86" s="4" t="s">
        <v>94</v>
      </c>
      <c r="B86" s="3">
        <f t="shared" ref="B86:X86" si="30">IF(LEFT(B40,1) = "&lt;",0, IF(ISBLANK(B40),"",B40))</f>
        <v>3.75</v>
      </c>
      <c r="C86" s="3">
        <f t="shared" si="30"/>
        <v>21.04</v>
      </c>
      <c r="D86" s="3">
        <f t="shared" si="30"/>
        <v>658.02599999999995</v>
      </c>
      <c r="E86" s="3">
        <f t="shared" si="30"/>
        <v>44</v>
      </c>
      <c r="F86" s="3">
        <f t="shared" si="30"/>
        <v>1376.1</v>
      </c>
      <c r="G86" s="3">
        <f t="shared" si="30"/>
        <v>117.5</v>
      </c>
      <c r="H86" s="3">
        <f t="shared" si="30"/>
        <v>3674.8125</v>
      </c>
      <c r="I86" s="3">
        <f t="shared" si="30"/>
        <v>0.02</v>
      </c>
      <c r="J86" s="3">
        <f t="shared" si="30"/>
        <v>0.62549999999999994</v>
      </c>
      <c r="K86" s="3">
        <f t="shared" si="30"/>
        <v>0</v>
      </c>
      <c r="L86" s="3">
        <f t="shared" si="30"/>
        <v>0</v>
      </c>
      <c r="M86" s="3">
        <f t="shared" si="30"/>
        <v>59.25</v>
      </c>
      <c r="N86" s="3">
        <f t="shared" si="30"/>
        <v>1853.04375</v>
      </c>
      <c r="O86" s="3">
        <f t="shared" si="30"/>
        <v>4.5</v>
      </c>
      <c r="P86" s="3">
        <f t="shared" si="30"/>
        <v>140.73750000000001</v>
      </c>
      <c r="Q86" s="3">
        <f t="shared" si="30"/>
        <v>79</v>
      </c>
      <c r="R86" s="3">
        <f t="shared" si="30"/>
        <v>0</v>
      </c>
      <c r="S86" s="3">
        <f t="shared" si="30"/>
        <v>0</v>
      </c>
      <c r="T86" s="3" t="str">
        <f t="shared" si="30"/>
        <v/>
      </c>
      <c r="U86" s="3" t="str">
        <f t="shared" si="30"/>
        <v/>
      </c>
      <c r="V86" s="3">
        <f t="shared" si="30"/>
        <v>7.1</v>
      </c>
      <c r="W86" s="3" t="str">
        <f t="shared" si="30"/>
        <v/>
      </c>
      <c r="X86" s="3" t="str">
        <f t="shared" si="30"/>
        <v/>
      </c>
    </row>
    <row r="87" spans="1:24" hidden="1" x14ac:dyDescent="0.2">
      <c r="A87" s="4" t="s">
        <v>95</v>
      </c>
      <c r="B87" s="3">
        <f t="shared" ref="B87:X87" si="31">IF(LEFT(B41,1) = "&lt;",0, IF(ISBLANK(B41),"",B41))</f>
        <v>4.1100000000000003</v>
      </c>
      <c r="C87" s="3">
        <f t="shared" si="31"/>
        <v>38.97</v>
      </c>
      <c r="D87" s="3">
        <f t="shared" si="31"/>
        <v>1335.7902780000002</v>
      </c>
      <c r="E87" s="3">
        <f t="shared" si="31"/>
        <v>40</v>
      </c>
      <c r="F87" s="3">
        <f t="shared" si="31"/>
        <v>1371.096</v>
      </c>
      <c r="G87" s="3">
        <f t="shared" si="31"/>
        <v>0.92</v>
      </c>
      <c r="H87" s="3">
        <f t="shared" si="31"/>
        <v>31.535208000000004</v>
      </c>
      <c r="I87" s="3">
        <f t="shared" si="31"/>
        <v>0.01</v>
      </c>
      <c r="J87" s="3">
        <f t="shared" si="31"/>
        <v>0.34277400000000002</v>
      </c>
      <c r="K87" s="3">
        <f t="shared" si="31"/>
        <v>0</v>
      </c>
      <c r="L87" s="3">
        <f t="shared" si="31"/>
        <v>0</v>
      </c>
      <c r="M87" s="3" t="str">
        <f t="shared" si="31"/>
        <v/>
      </c>
      <c r="N87" s="3" t="str">
        <f t="shared" si="31"/>
        <v/>
      </c>
      <c r="O87" s="3" t="str">
        <f t="shared" si="31"/>
        <v/>
      </c>
      <c r="P87" s="3" t="str">
        <f t="shared" si="31"/>
        <v/>
      </c>
      <c r="Q87" s="3">
        <f t="shared" si="31"/>
        <v>82</v>
      </c>
      <c r="R87" s="3">
        <f t="shared" si="31"/>
        <v>0</v>
      </c>
      <c r="S87" s="3">
        <f t="shared" si="31"/>
        <v>0</v>
      </c>
      <c r="T87" s="3" t="str">
        <f t="shared" si="31"/>
        <v/>
      </c>
      <c r="U87" s="3" t="str">
        <f t="shared" si="31"/>
        <v/>
      </c>
      <c r="V87" s="3">
        <f t="shared" si="31"/>
        <v>7.1</v>
      </c>
      <c r="W87" s="3" t="str">
        <f t="shared" si="31"/>
        <v/>
      </c>
      <c r="X87" s="3" t="str">
        <f t="shared" si="31"/>
        <v/>
      </c>
    </row>
    <row r="88" spans="1:24" hidden="1" x14ac:dyDescent="0.2">
      <c r="A88" s="4" t="s">
        <v>96</v>
      </c>
      <c r="B88" s="3">
        <f t="shared" ref="B88:X88" si="32">IF(LEFT(B42,1) = "&lt;",0, IF(ISBLANK(B42),"",B42))</f>
        <v>2.52</v>
      </c>
      <c r="C88" s="3">
        <f t="shared" si="32"/>
        <v>35.56</v>
      </c>
      <c r="D88" s="3">
        <f t="shared" si="32"/>
        <v>747.35740800000008</v>
      </c>
      <c r="E88" s="3">
        <f t="shared" si="32"/>
        <v>50</v>
      </c>
      <c r="F88" s="3">
        <f t="shared" si="32"/>
        <v>1050.8399999999999</v>
      </c>
      <c r="G88" s="3">
        <f t="shared" si="32"/>
        <v>0.46</v>
      </c>
      <c r="H88" s="3">
        <f t="shared" si="32"/>
        <v>9.6677280000000003</v>
      </c>
      <c r="I88" s="3">
        <f t="shared" si="32"/>
        <v>0.05</v>
      </c>
      <c r="J88" s="3">
        <f t="shared" si="32"/>
        <v>1.05084</v>
      </c>
      <c r="K88" s="3">
        <f t="shared" si="32"/>
        <v>0</v>
      </c>
      <c r="L88" s="3">
        <f t="shared" si="32"/>
        <v>0</v>
      </c>
      <c r="M88" s="3" t="str">
        <f t="shared" si="32"/>
        <v/>
      </c>
      <c r="N88" s="3" t="str">
        <f t="shared" si="32"/>
        <v/>
      </c>
      <c r="O88" s="3" t="str">
        <f t="shared" si="32"/>
        <v/>
      </c>
      <c r="P88" s="3" t="str">
        <f t="shared" si="32"/>
        <v/>
      </c>
      <c r="Q88" s="3">
        <f t="shared" si="32"/>
        <v>80</v>
      </c>
      <c r="R88" s="3">
        <f t="shared" si="32"/>
        <v>0</v>
      </c>
      <c r="S88" s="3">
        <f t="shared" si="32"/>
        <v>0</v>
      </c>
      <c r="T88" s="3" t="str">
        <f t="shared" si="32"/>
        <v/>
      </c>
      <c r="U88" s="3" t="str">
        <f t="shared" si="32"/>
        <v/>
      </c>
      <c r="V88" s="3">
        <f t="shared" si="32"/>
        <v>7.3</v>
      </c>
      <c r="W88" s="3" t="str">
        <f t="shared" si="32"/>
        <v/>
      </c>
      <c r="X88" s="3" t="str">
        <f t="shared" si="32"/>
        <v/>
      </c>
    </row>
    <row r="89" spans="1:24" hidden="1" x14ac:dyDescent="0.2">
      <c r="A89" s="4" t="s">
        <v>97</v>
      </c>
      <c r="B89" s="3">
        <f t="shared" ref="B89:X89" si="33">IF(LEFT(B43,1) = "&lt;",0, IF(ISBLANK(B43),"",B43))</f>
        <v>3.21</v>
      </c>
      <c r="C89" s="3">
        <f t="shared" si="33"/>
        <v>523</v>
      </c>
      <c r="D89" s="3">
        <f t="shared" si="33"/>
        <v>14001.4422</v>
      </c>
      <c r="E89" s="3">
        <f t="shared" si="33"/>
        <v>42</v>
      </c>
      <c r="F89" s="3">
        <f t="shared" si="33"/>
        <v>1124.3987999999999</v>
      </c>
      <c r="G89" s="3">
        <f t="shared" si="33"/>
        <v>0.99</v>
      </c>
      <c r="H89" s="3">
        <f t="shared" si="33"/>
        <v>26.503685999999998</v>
      </c>
      <c r="I89" s="3">
        <f t="shared" si="33"/>
        <v>7.0000000000000007E-2</v>
      </c>
      <c r="J89" s="3">
        <f t="shared" si="33"/>
        <v>1.8739980000000001</v>
      </c>
      <c r="K89" s="3">
        <f t="shared" si="33"/>
        <v>0</v>
      </c>
      <c r="L89" s="3">
        <f t="shared" si="33"/>
        <v>0</v>
      </c>
      <c r="M89" s="3" t="str">
        <f t="shared" si="33"/>
        <v/>
      </c>
      <c r="N89" s="3" t="str">
        <f t="shared" si="33"/>
        <v/>
      </c>
      <c r="O89" s="3" t="str">
        <f t="shared" si="33"/>
        <v/>
      </c>
      <c r="P89" s="3" t="str">
        <f t="shared" si="33"/>
        <v/>
      </c>
      <c r="Q89" s="3">
        <f t="shared" si="33"/>
        <v>8</v>
      </c>
      <c r="R89" s="3">
        <f t="shared" si="33"/>
        <v>0</v>
      </c>
      <c r="S89" s="3">
        <f t="shared" si="33"/>
        <v>0</v>
      </c>
      <c r="T89" s="3" t="str">
        <f t="shared" si="33"/>
        <v/>
      </c>
      <c r="U89" s="3" t="str">
        <f t="shared" si="33"/>
        <v/>
      </c>
      <c r="V89" s="3">
        <f t="shared" si="33"/>
        <v>7</v>
      </c>
      <c r="W89" s="3" t="str">
        <f t="shared" si="33"/>
        <v/>
      </c>
      <c r="X89" s="3" t="str">
        <f t="shared" si="33"/>
        <v/>
      </c>
    </row>
    <row r="90" spans="1:24" hidden="1" x14ac:dyDescent="0.2">
      <c r="A90" s="4" t="s">
        <v>98</v>
      </c>
      <c r="B90" s="3">
        <f t="shared" ref="B90:X90" si="34">IF(LEFT(B44,1) = "&lt;",0, IF(ISBLANK(B44),"",B44))</f>
        <v>3.26</v>
      </c>
      <c r="C90" s="3">
        <f t="shared" si="34"/>
        <v>111.95</v>
      </c>
      <c r="D90" s="3">
        <f t="shared" si="34"/>
        <v>3043.7413799999999</v>
      </c>
      <c r="E90" s="3">
        <f t="shared" si="34"/>
        <v>47</v>
      </c>
      <c r="F90" s="3">
        <f t="shared" si="34"/>
        <v>1277.8548000000001</v>
      </c>
      <c r="G90" s="3">
        <f t="shared" si="34"/>
        <v>1.54</v>
      </c>
      <c r="H90" s="3">
        <f t="shared" si="34"/>
        <v>41.870135999999995</v>
      </c>
      <c r="I90" s="3">
        <f t="shared" si="34"/>
        <v>0.04</v>
      </c>
      <c r="J90" s="3">
        <f t="shared" si="34"/>
        <v>1.0875359999999998</v>
      </c>
      <c r="K90" s="3">
        <f t="shared" si="34"/>
        <v>0</v>
      </c>
      <c r="L90" s="3">
        <f t="shared" si="34"/>
        <v>0</v>
      </c>
      <c r="M90" s="3" t="str">
        <f t="shared" si="34"/>
        <v/>
      </c>
      <c r="N90" s="3" t="str">
        <f t="shared" si="34"/>
        <v/>
      </c>
      <c r="O90" s="3" t="str">
        <f t="shared" si="34"/>
        <v/>
      </c>
      <c r="P90" s="3" t="str">
        <f t="shared" si="34"/>
        <v/>
      </c>
      <c r="Q90" s="3">
        <f t="shared" si="34"/>
        <v>79</v>
      </c>
      <c r="R90" s="3">
        <f t="shared" si="34"/>
        <v>0</v>
      </c>
      <c r="S90" s="3">
        <f t="shared" si="34"/>
        <v>0</v>
      </c>
      <c r="T90" s="3" t="str">
        <f t="shared" si="34"/>
        <v/>
      </c>
      <c r="U90" s="3" t="str">
        <f t="shared" si="34"/>
        <v/>
      </c>
      <c r="V90" s="3">
        <f t="shared" si="34"/>
        <v>7.1</v>
      </c>
      <c r="W90" s="3" t="str">
        <f t="shared" si="34"/>
        <v/>
      </c>
      <c r="X90" s="3" t="str">
        <f t="shared" si="34"/>
        <v/>
      </c>
    </row>
    <row r="91" spans="1:24" hidden="1" x14ac:dyDescent="0.2">
      <c r="A91" s="4" t="s">
        <v>99</v>
      </c>
      <c r="B91" s="3">
        <f t="shared" ref="B91:X91" si="35">IF(LEFT(B45,1) = "&lt;",0, IF(ISBLANK(B45),"",B45))</f>
        <v>2.39</v>
      </c>
      <c r="C91" s="3">
        <f t="shared" si="35"/>
        <v>408.6</v>
      </c>
      <c r="D91" s="3">
        <f t="shared" si="35"/>
        <v>8144.4603600000009</v>
      </c>
      <c r="E91" s="3">
        <f t="shared" si="35"/>
        <v>43</v>
      </c>
      <c r="F91" s="3">
        <f t="shared" si="35"/>
        <v>857.10180000000003</v>
      </c>
      <c r="G91" s="3">
        <f t="shared" si="35"/>
        <v>0.63</v>
      </c>
      <c r="H91" s="3">
        <f t="shared" si="35"/>
        <v>12.557538000000001</v>
      </c>
      <c r="I91" s="3">
        <f t="shared" si="35"/>
        <v>0.01</v>
      </c>
      <c r="J91" s="3">
        <f t="shared" si="35"/>
        <v>0.199326</v>
      </c>
      <c r="K91" s="3">
        <f t="shared" si="35"/>
        <v>0</v>
      </c>
      <c r="L91" s="3">
        <f t="shared" si="35"/>
        <v>0</v>
      </c>
      <c r="M91" s="3" t="str">
        <f t="shared" si="35"/>
        <v/>
      </c>
      <c r="N91" s="3" t="str">
        <f t="shared" si="35"/>
        <v/>
      </c>
      <c r="O91" s="3" t="str">
        <f t="shared" si="35"/>
        <v/>
      </c>
      <c r="P91" s="3" t="str">
        <f t="shared" si="35"/>
        <v/>
      </c>
      <c r="Q91" s="3">
        <f t="shared" si="35"/>
        <v>78</v>
      </c>
      <c r="R91" s="3">
        <f t="shared" si="35"/>
        <v>0</v>
      </c>
      <c r="S91" s="3">
        <f t="shared" si="35"/>
        <v>0</v>
      </c>
      <c r="T91" s="3" t="str">
        <f t="shared" si="35"/>
        <v/>
      </c>
      <c r="U91" s="3" t="str">
        <f t="shared" si="35"/>
        <v/>
      </c>
      <c r="V91" s="3">
        <f t="shared" si="35"/>
        <v>7.8</v>
      </c>
      <c r="W91" s="3" t="str">
        <f t="shared" si="35"/>
        <v/>
      </c>
      <c r="X91" s="3" t="str">
        <f t="shared" si="35"/>
        <v/>
      </c>
    </row>
    <row r="92" spans="1:24" hidden="1" x14ac:dyDescent="0.2">
      <c r="A92" s="4" t="s">
        <v>100</v>
      </c>
      <c r="B92" s="3">
        <f t="shared" ref="B92:X92" si="36">IF(LEFT(B46,1) = "&lt;",0, IF(ISBLANK(B46),"",B46))</f>
        <v>3.69</v>
      </c>
      <c r="C92" s="3">
        <f t="shared" si="36"/>
        <v>483</v>
      </c>
      <c r="D92" s="3">
        <f t="shared" si="36"/>
        <v>14864.131799999999</v>
      </c>
      <c r="E92" s="3">
        <f t="shared" si="36"/>
        <v>46</v>
      </c>
      <c r="F92" s="3">
        <f t="shared" si="36"/>
        <v>1415.6316000000002</v>
      </c>
      <c r="G92" s="3">
        <f t="shared" si="36"/>
        <v>1.45</v>
      </c>
      <c r="H92" s="3">
        <f t="shared" si="36"/>
        <v>44.623169999999995</v>
      </c>
      <c r="I92" s="3">
        <f t="shared" si="36"/>
        <v>0.04</v>
      </c>
      <c r="J92" s="3">
        <f t="shared" si="36"/>
        <v>1.2309840000000001</v>
      </c>
      <c r="K92" s="3">
        <f t="shared" si="36"/>
        <v>0</v>
      </c>
      <c r="L92" s="3">
        <f t="shared" si="36"/>
        <v>0</v>
      </c>
      <c r="M92" s="3" t="str">
        <f t="shared" si="36"/>
        <v/>
      </c>
      <c r="N92" s="3" t="str">
        <f t="shared" si="36"/>
        <v/>
      </c>
      <c r="O92" s="3" t="str">
        <f t="shared" si="36"/>
        <v/>
      </c>
      <c r="P92" s="3" t="str">
        <f t="shared" si="36"/>
        <v/>
      </c>
      <c r="Q92" s="3">
        <f t="shared" si="36"/>
        <v>78</v>
      </c>
      <c r="R92" s="3">
        <f t="shared" si="36"/>
        <v>0</v>
      </c>
      <c r="S92" s="3">
        <f t="shared" si="36"/>
        <v>0</v>
      </c>
      <c r="T92" s="3" t="str">
        <f t="shared" si="36"/>
        <v/>
      </c>
      <c r="U92" s="3" t="str">
        <f t="shared" si="36"/>
        <v/>
      </c>
      <c r="V92" s="3">
        <f t="shared" si="36"/>
        <v>7.6</v>
      </c>
      <c r="W92" s="3" t="str">
        <f t="shared" si="36"/>
        <v/>
      </c>
      <c r="X92" s="3" t="str">
        <f t="shared" si="36"/>
        <v/>
      </c>
    </row>
    <row r="93" spans="1:24" hidden="1" x14ac:dyDescent="0.2">
      <c r="A93" s="4" t="s">
        <v>101</v>
      </c>
      <c r="B93" s="3">
        <f t="shared" ref="B93:X93" si="37">IF(LEFT(B47,1) = "&lt;",0, IF(ISBLANK(B47),"",B47))</f>
        <v>3.94</v>
      </c>
      <c r="C93" s="3">
        <f t="shared" si="37"/>
        <v>341.4</v>
      </c>
      <c r="D93" s="3">
        <f t="shared" si="37"/>
        <v>11218.26744</v>
      </c>
      <c r="E93" s="3">
        <f t="shared" si="37"/>
        <v>35</v>
      </c>
      <c r="F93" s="3">
        <f t="shared" si="37"/>
        <v>1150.086</v>
      </c>
      <c r="G93" s="3">
        <f t="shared" si="37"/>
        <v>1.47</v>
      </c>
      <c r="H93" s="3">
        <f t="shared" si="37"/>
        <v>48.303611999999994</v>
      </c>
      <c r="I93" s="3">
        <f t="shared" si="37"/>
        <v>0.35</v>
      </c>
      <c r="J93" s="3">
        <f t="shared" si="37"/>
        <v>11.500859999999999</v>
      </c>
      <c r="K93" s="3">
        <f t="shared" si="37"/>
        <v>0</v>
      </c>
      <c r="L93" s="3">
        <f t="shared" si="37"/>
        <v>0</v>
      </c>
      <c r="M93" s="3">
        <f t="shared" si="37"/>
        <v>47.25</v>
      </c>
      <c r="N93" s="3">
        <f t="shared" si="37"/>
        <v>1552.6161</v>
      </c>
      <c r="O93" s="3">
        <f t="shared" si="37"/>
        <v>5</v>
      </c>
      <c r="P93" s="3">
        <f t="shared" si="37"/>
        <v>164.298</v>
      </c>
      <c r="Q93" s="3">
        <f t="shared" si="37"/>
        <v>75</v>
      </c>
      <c r="R93" s="3">
        <f t="shared" si="37"/>
        <v>0</v>
      </c>
      <c r="S93" s="3">
        <f t="shared" si="37"/>
        <v>0</v>
      </c>
      <c r="T93" s="3" t="str">
        <f t="shared" si="37"/>
        <v/>
      </c>
      <c r="U93" s="3" t="str">
        <f t="shared" si="37"/>
        <v/>
      </c>
      <c r="V93" s="3">
        <f t="shared" si="37"/>
        <v>7.84</v>
      </c>
      <c r="W93" s="3" t="str">
        <f t="shared" si="37"/>
        <v/>
      </c>
      <c r="X93" s="3" t="str">
        <f t="shared" si="37"/>
        <v/>
      </c>
    </row>
    <row r="94" spans="1:24" hidden="1" x14ac:dyDescent="0.2">
      <c r="A94" s="4" t="s">
        <v>102</v>
      </c>
      <c r="B94" s="3">
        <f t="shared" ref="B94:X94" si="38">IF(LEFT(B48,1) = "&lt;",0, IF(ISBLANK(B48),"",B48))</f>
        <v>4.21</v>
      </c>
      <c r="C94" s="3">
        <f t="shared" si="38"/>
        <v>174.45</v>
      </c>
      <c r="D94" s="3">
        <f t="shared" si="38"/>
        <v>6125.1837299999997</v>
      </c>
      <c r="E94" s="3">
        <f t="shared" si="38"/>
        <v>40</v>
      </c>
      <c r="F94" s="3">
        <f t="shared" si="38"/>
        <v>1404.4560000000001</v>
      </c>
      <c r="G94" s="3">
        <f t="shared" si="38"/>
        <v>6.34</v>
      </c>
      <c r="H94" s="3">
        <f t="shared" si="38"/>
        <v>222.60627599999998</v>
      </c>
      <c r="I94" s="3">
        <f t="shared" si="38"/>
        <v>0.04</v>
      </c>
      <c r="J94" s="3">
        <f t="shared" si="38"/>
        <v>1.4044559999999999</v>
      </c>
      <c r="K94" s="3">
        <f t="shared" si="38"/>
        <v>0</v>
      </c>
      <c r="L94" s="3">
        <f t="shared" si="38"/>
        <v>0</v>
      </c>
      <c r="M94" s="3" t="str">
        <f t="shared" si="38"/>
        <v/>
      </c>
      <c r="N94" s="3" t="str">
        <f t="shared" si="38"/>
        <v/>
      </c>
      <c r="O94" s="3" t="str">
        <f t="shared" si="38"/>
        <v/>
      </c>
      <c r="P94" s="3" t="str">
        <f t="shared" si="38"/>
        <v/>
      </c>
      <c r="Q94" s="3">
        <f t="shared" si="38"/>
        <v>75</v>
      </c>
      <c r="R94" s="3">
        <f t="shared" si="38"/>
        <v>0</v>
      </c>
      <c r="S94" s="3">
        <f t="shared" si="38"/>
        <v>0</v>
      </c>
      <c r="T94" s="3" t="str">
        <f t="shared" si="38"/>
        <v/>
      </c>
      <c r="U94" s="3" t="str">
        <f t="shared" si="38"/>
        <v/>
      </c>
      <c r="V94" s="3">
        <f t="shared" si="38"/>
        <v>7.5</v>
      </c>
      <c r="W94" s="3" t="str">
        <f t="shared" si="38"/>
        <v/>
      </c>
      <c r="X94" s="3" t="str">
        <f t="shared" si="38"/>
        <v/>
      </c>
    </row>
    <row r="95" spans="1:24" hidden="1" x14ac:dyDescent="0.2">
      <c r="A95" s="4" t="s">
        <v>103</v>
      </c>
      <c r="B95" s="3">
        <f t="shared" ref="B95:X95" si="39">IF(LEFT(B49,1) = "&lt;",0, IF(ISBLANK(B49),"",B49))</f>
        <v>4.34</v>
      </c>
      <c r="C95" s="3">
        <f t="shared" si="39"/>
        <v>171</v>
      </c>
      <c r="D95" s="3">
        <f t="shared" si="39"/>
        <v>6189.4475999999995</v>
      </c>
      <c r="E95" s="3">
        <f t="shared" si="39"/>
        <v>34</v>
      </c>
      <c r="F95" s="3">
        <f t="shared" si="39"/>
        <v>1230.6504</v>
      </c>
      <c r="G95" s="3">
        <f t="shared" si="39"/>
        <v>2.13</v>
      </c>
      <c r="H95" s="3">
        <f t="shared" si="39"/>
        <v>77.096627999999995</v>
      </c>
      <c r="I95" s="3">
        <f t="shared" si="39"/>
        <v>0.02</v>
      </c>
      <c r="J95" s="3">
        <f t="shared" si="39"/>
        <v>0.723912</v>
      </c>
      <c r="K95" s="3">
        <f t="shared" si="39"/>
        <v>0</v>
      </c>
      <c r="L95" s="3">
        <f t="shared" si="39"/>
        <v>0</v>
      </c>
      <c r="M95" s="3" t="str">
        <f t="shared" si="39"/>
        <v/>
      </c>
      <c r="N95" s="3" t="str">
        <f t="shared" si="39"/>
        <v/>
      </c>
      <c r="O95" s="3" t="str">
        <f t="shared" si="39"/>
        <v/>
      </c>
      <c r="P95" s="3" t="str">
        <f t="shared" si="39"/>
        <v/>
      </c>
      <c r="Q95" s="3">
        <f t="shared" si="39"/>
        <v>78</v>
      </c>
      <c r="R95" s="3">
        <f t="shared" si="39"/>
        <v>0</v>
      </c>
      <c r="S95" s="3">
        <f t="shared" si="39"/>
        <v>0</v>
      </c>
      <c r="T95" s="3" t="str">
        <f t="shared" si="39"/>
        <v/>
      </c>
      <c r="U95" s="3" t="str">
        <f t="shared" si="39"/>
        <v/>
      </c>
      <c r="V95" s="3">
        <f t="shared" si="39"/>
        <v>7.2</v>
      </c>
      <c r="W95" s="3" t="str">
        <f t="shared" si="39"/>
        <v/>
      </c>
      <c r="X95" s="3" t="str">
        <f t="shared" si="39"/>
        <v/>
      </c>
    </row>
    <row r="96" spans="1:24" x14ac:dyDescent="0.2">
      <c r="B96" s="3" t="str">
        <f t="shared" ref="B96:X96" si="40">IF(LEFT(B50,1) = "&lt;",0, IF(ISBLANK(B50),"",B50))</f>
        <v/>
      </c>
      <c r="C96" s="3" t="str">
        <f t="shared" si="40"/>
        <v/>
      </c>
      <c r="D96" s="3" t="str">
        <f t="shared" si="40"/>
        <v/>
      </c>
      <c r="E96" s="3" t="str">
        <f t="shared" si="40"/>
        <v/>
      </c>
      <c r="F96" s="3" t="str">
        <f t="shared" si="40"/>
        <v/>
      </c>
      <c r="G96" s="3" t="str">
        <f t="shared" si="40"/>
        <v/>
      </c>
      <c r="H96" s="3" t="str">
        <f t="shared" si="40"/>
        <v/>
      </c>
      <c r="I96" s="3" t="str">
        <f t="shared" si="40"/>
        <v/>
      </c>
      <c r="J96" s="3" t="str">
        <f t="shared" si="40"/>
        <v/>
      </c>
      <c r="K96" s="3" t="str">
        <f t="shared" si="40"/>
        <v/>
      </c>
      <c r="L96" s="3" t="str">
        <f t="shared" si="40"/>
        <v/>
      </c>
      <c r="M96" s="3" t="str">
        <f t="shared" si="40"/>
        <v/>
      </c>
      <c r="N96" s="3" t="str">
        <f t="shared" si="40"/>
        <v/>
      </c>
      <c r="O96" s="3" t="str">
        <f t="shared" si="40"/>
        <v/>
      </c>
      <c r="P96" s="3" t="str">
        <f t="shared" si="40"/>
        <v/>
      </c>
      <c r="Q96" s="3" t="str">
        <f t="shared" si="40"/>
        <v/>
      </c>
      <c r="R96" s="3" t="str">
        <f t="shared" si="40"/>
        <v/>
      </c>
      <c r="S96" s="3" t="str">
        <f t="shared" si="40"/>
        <v/>
      </c>
      <c r="T96" s="3" t="str">
        <f t="shared" si="40"/>
        <v/>
      </c>
      <c r="U96" s="3" t="str">
        <f t="shared" si="40"/>
        <v/>
      </c>
      <c r="V96" s="3" t="str">
        <f t="shared" si="40"/>
        <v/>
      </c>
      <c r="W96" s="3" t="str">
        <f t="shared" si="40"/>
        <v/>
      </c>
      <c r="X96" s="3" t="str">
        <f t="shared" si="40"/>
        <v/>
      </c>
    </row>
  </sheetData>
  <sheetProtection password="FF4A" sheet="1"/>
  <mergeCells count="65">
    <mergeCell ref="W9:X9"/>
    <mergeCell ref="W15"/>
    <mergeCell ref="W13:W14"/>
    <mergeCell ref="W10"/>
    <mergeCell ref="X15"/>
    <mergeCell ref="X13:X14"/>
    <mergeCell ref="X10"/>
    <mergeCell ref="U15"/>
    <mergeCell ref="U13:U14"/>
    <mergeCell ref="U10"/>
    <mergeCell ref="V15"/>
    <mergeCell ref="V13:V14"/>
    <mergeCell ref="V10"/>
    <mergeCell ref="S15"/>
    <mergeCell ref="S13:S14"/>
    <mergeCell ref="R10:S10"/>
    <mergeCell ref="T15"/>
    <mergeCell ref="T13:T14"/>
    <mergeCell ref="T10"/>
    <mergeCell ref="Q15"/>
    <mergeCell ref="Q13:Q14"/>
    <mergeCell ref="Q10"/>
    <mergeCell ref="R15"/>
    <mergeCell ref="R13:R14"/>
    <mergeCell ref="O15"/>
    <mergeCell ref="O13:O14"/>
    <mergeCell ref="P15"/>
    <mergeCell ref="P13:P14"/>
    <mergeCell ref="O10:P10"/>
    <mergeCell ref="M15"/>
    <mergeCell ref="M13:M14"/>
    <mergeCell ref="N15"/>
    <mergeCell ref="N13:N14"/>
    <mergeCell ref="M10:N10"/>
    <mergeCell ref="K15"/>
    <mergeCell ref="K13:K14"/>
    <mergeCell ref="L15"/>
    <mergeCell ref="L13:L14"/>
    <mergeCell ref="K10:L10"/>
    <mergeCell ref="I15"/>
    <mergeCell ref="I13:I14"/>
    <mergeCell ref="J15"/>
    <mergeCell ref="J13:J14"/>
    <mergeCell ref="I10:J10"/>
    <mergeCell ref="G15"/>
    <mergeCell ref="G13:G14"/>
    <mergeCell ref="H15"/>
    <mergeCell ref="H13:H14"/>
    <mergeCell ref="G10:H10"/>
    <mergeCell ref="B2:D3"/>
    <mergeCell ref="E1:G4"/>
    <mergeCell ref="B9:V9"/>
    <mergeCell ref="B15"/>
    <mergeCell ref="B13:B14"/>
    <mergeCell ref="B10"/>
    <mergeCell ref="C15"/>
    <mergeCell ref="C13:C14"/>
    <mergeCell ref="D15"/>
    <mergeCell ref="D13:D14"/>
    <mergeCell ref="C10:D10"/>
    <mergeCell ref="E15"/>
    <mergeCell ref="E13:E14"/>
    <mergeCell ref="F15"/>
    <mergeCell ref="F13:F14"/>
    <mergeCell ref="E10:F10"/>
  </mergeCells>
  <conditionalFormatting sqref="B15:X15">
    <cfRule type="containsText" dxfId="13" priority="1" operator="containsText" text="13">
      <formula>NOT(ISERROR(SEARCH("13",B15)))</formula>
    </cfRule>
    <cfRule type="expression" dxfId="12" priority="2">
      <formula>NOT(AND(SUM(B51)=0,ISBLANK(B15)))</formula>
    </cfRule>
  </conditionalFormatting>
  <dataValidations count="3">
    <dataValidation type="custom" allowBlank="1" showErrorMessage="1" errorTitle="Invalid Value" error="Please enter a valid value. Select the Cancel button to continue." sqref="W19:X50 B19:U50" xr:uid="{00000000-0002-0000-0800-000001000000}">
      <formula1>OR(LEFT(B19:B50,1)= "&lt;", AND(ISNUMBER(B19:B50),B19:B50&gt;=0))</formula1>
    </dataValidation>
    <dataValidation type="decimal" allowBlank="1" showErrorMessage="1" errorTitle="PH" error="Please choose a value between 0 and 14. Select Retry to enter a diffferent value or select Cancel to clear the value." sqref="V19:V50" xr:uid="{00000000-0002-0000-0800-000029000000}">
      <formula1>0</formula1>
      <formula2>14</formula2>
    </dataValidation>
    <dataValidation type="list" sqref="B15:Q15 S15:X15 R15" xr:uid="{00000000-0002-0000-0800-000000000000}">
      <formula1>"01 - LAGOON STOR,02 - LOW FLOW,03 - OPR SHUTDOWN,04 - OUTFALL FROZ,05 - NO DETECTION,06 - NOT REQ / MP,07 - NOT REPORTED,08 - BROKEN EQUIP,09 - LAB ERROR,10 - UNDER CONSTR,11 - NO OPERATOR,12 - CERTIFIED,13 - NO DISCHARGE,14 - FLOOD DISASTER"</formula1>
    </dataValidation>
  </dataValidations>
  <pageMargins left="0.5" right="0.5" top="0.5" bottom="0.5" header="0.315" footer="0.315"/>
  <pageSetup scale="63" fitToWidth="2" orientation="landscape" r:id="rId1"/>
  <headerFooter>
    <oddHeader>&amp;C&amp;"Aptos"&amp;12&amp;K000000 ROQUETTE RESTRICTED&amp;1#_x000D_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96"/>
  <sheetViews>
    <sheetView showGridLines="0" workbookViewId="0">
      <pane xSplit="1" ySplit="16" topLeftCell="B17" activePane="bottomRight" state="frozen"/>
      <selection pane="topRight" activeCell="B1" sqref="B1"/>
      <selection pane="bottomLeft" activeCell="A17" sqref="A17"/>
      <selection pane="bottomRight" activeCell="B29" sqref="B29"/>
    </sheetView>
  </sheetViews>
  <sheetFormatPr defaultColWidth="9.140625" defaultRowHeight="11.25" x14ac:dyDescent="0.2"/>
  <cols>
    <col min="1" max="1" width="11.85546875" style="3" customWidth="1"/>
    <col min="2" max="2" width="16"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136</v>
      </c>
    </row>
    <row r="6" spans="1:7" x14ac:dyDescent="0.2">
      <c r="A6" s="4" t="s">
        <v>12</v>
      </c>
      <c r="B6" s="3" t="str">
        <f>Cover!C13 &amp; "-" &amp; Cover!D13</f>
        <v>12-2025</v>
      </c>
    </row>
    <row r="7" spans="1:7" hidden="1" x14ac:dyDescent="0.2"/>
    <row r="8" spans="1:7" hidden="1" x14ac:dyDescent="0.2"/>
    <row r="9" spans="1:7" ht="35.450000000000003"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142776</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bc71ys41IJfFOxtjqbT/cBAeW6LZiJZh9dZYdqSOVztPR+8grelQm6xCBi+nKiJ+YxG++IuWGw1rlEvDEVE+6A==" saltValue="QeAW6eLVNv5Ykz9JlfybhQ==" spinCount="100000" sheet="1"/>
  <mergeCells count="6">
    <mergeCell ref="B2:D3"/>
    <mergeCell ref="E1:G4"/>
    <mergeCell ref="B9"/>
    <mergeCell ref="B15"/>
    <mergeCell ref="B13:B14"/>
    <mergeCell ref="B10"/>
  </mergeCells>
  <conditionalFormatting sqref="B15">
    <cfRule type="containsText" dxfId="11" priority="1" operator="containsText" text="13">
      <formula>NOT(ISERROR(SEARCH("13",B15)))</formula>
    </cfRule>
    <cfRule type="expression" dxfId="10" priority="2">
      <formula>NOT(AND(SUM(B51)=0,ISBLANK(B15)))</formula>
    </cfRule>
  </conditionalFormatting>
  <dataValidations count="2">
    <dataValidation type="list" sqref="B15" xr:uid="{00000000-0002-0000-09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9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96"/>
  <sheetViews>
    <sheetView showGridLines="0" workbookViewId="0">
      <pane xSplit="1" ySplit="16" topLeftCell="B17" activePane="bottomRight" state="frozen"/>
      <selection pane="topRight" activeCell="B1" sqref="B1"/>
      <selection pane="bottomLeft" activeCell="A17" sqref="A17"/>
      <selection pane="bottomRight" activeCell="B29" sqref="B29"/>
    </sheetView>
  </sheetViews>
  <sheetFormatPr defaultColWidth="9.140625" defaultRowHeight="11.25" x14ac:dyDescent="0.2"/>
  <cols>
    <col min="1" max="1" width="11.85546875" style="3" customWidth="1"/>
    <col min="2" max="2" width="14.710937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137</v>
      </c>
    </row>
    <row r="6" spans="1:7" x14ac:dyDescent="0.2">
      <c r="A6" s="4" t="s">
        <v>12</v>
      </c>
      <c r="B6" s="3" t="str">
        <f>Cover!C13 &amp; "-" &amp; Cover!D13</f>
        <v>12-2025</v>
      </c>
    </row>
    <row r="7" spans="1:7" hidden="1" x14ac:dyDescent="0.2"/>
    <row r="8" spans="1:7" hidden="1" x14ac:dyDescent="0.2"/>
    <row r="9" spans="1:7" ht="35.450000000000003"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142777</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ZFqlTXVi0Ydd3nJFVfE/UhykhoWqjjyosOCOQoR+T7K9TMVYZP3OVdFohjZG1cMzzY2m+VjA/YWhOwCwDY8Z3g==" saltValue="FtVkB98AR35reupu9dyXiA==" spinCount="100000" sheet="1"/>
  <mergeCells count="6">
    <mergeCell ref="B2:D3"/>
    <mergeCell ref="E1:G4"/>
    <mergeCell ref="B9"/>
    <mergeCell ref="B15"/>
    <mergeCell ref="B13:B14"/>
    <mergeCell ref="B10"/>
  </mergeCells>
  <conditionalFormatting sqref="B15">
    <cfRule type="containsText" dxfId="9" priority="1" operator="containsText" text="13">
      <formula>NOT(ISERROR(SEARCH("13",B15)))</formula>
    </cfRule>
    <cfRule type="expression" dxfId="8" priority="2">
      <formula>NOT(AND(SUM(B51)=0,ISBLANK(B15)))</formula>
    </cfRule>
  </conditionalFormatting>
  <dataValidations count="2">
    <dataValidation type="list" sqref="B15" xr:uid="{00000000-0002-0000-0A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A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96"/>
  <sheetViews>
    <sheetView showGridLines="0" workbookViewId="0">
      <pane xSplit="1" ySplit="16" topLeftCell="B17" activePane="bottomRight" state="frozen"/>
      <selection pane="topRight" activeCell="B1" sqref="B1"/>
      <selection pane="bottomLeft" activeCell="A17" sqref="A17"/>
      <selection pane="bottomRight" activeCell="B29" sqref="B29"/>
    </sheetView>
  </sheetViews>
  <sheetFormatPr defaultColWidth="9.140625" defaultRowHeight="11.25" x14ac:dyDescent="0.2"/>
  <cols>
    <col min="1" max="1" width="11.85546875" style="3" customWidth="1"/>
    <col min="2" max="2" width="14.14062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138</v>
      </c>
    </row>
    <row r="6" spans="1:7" x14ac:dyDescent="0.2">
      <c r="A6" s="4" t="s">
        <v>12</v>
      </c>
      <c r="B6" s="3" t="str">
        <f>Cover!C13 &amp; "-" &amp; Cover!D13</f>
        <v>12-2025</v>
      </c>
    </row>
    <row r="7" spans="1:7" hidden="1" x14ac:dyDescent="0.2"/>
    <row r="8" spans="1:7" hidden="1" x14ac:dyDescent="0.2"/>
    <row r="9" spans="1:7" ht="22.9" customHeight="1" x14ac:dyDescent="0.2">
      <c r="A9" s="16" t="s">
        <v>39</v>
      </c>
      <c r="B9" s="52" t="s">
        <v>139</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142778</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MtK0lV2GqNNuhgxArTlKiWa+ra3cbpTc2d6K2GLi5sElMcgBYNvGA9Bha0GRbHKqSmQY2v4Dya8iA/7XehbkUQ==" saltValue="02IFMGo4VY8PzTx+7iCb6g==" spinCount="100000" sheet="1"/>
  <mergeCells count="6">
    <mergeCell ref="B2:D3"/>
    <mergeCell ref="E1:G4"/>
    <mergeCell ref="B9"/>
    <mergeCell ref="B15"/>
    <mergeCell ref="B13:B14"/>
    <mergeCell ref="B10"/>
  </mergeCells>
  <conditionalFormatting sqref="B15">
    <cfRule type="containsText" dxfId="7" priority="1" operator="containsText" text="13">
      <formula>NOT(ISERROR(SEARCH("13",B15)))</formula>
    </cfRule>
    <cfRule type="expression" dxfId="6" priority="2">
      <formula>NOT(AND(SUM(B51)=0,ISBLANK(B15)))</formula>
    </cfRule>
  </conditionalFormatting>
  <dataValidations count="2">
    <dataValidation type="list" sqref="B15" xr:uid="{00000000-0002-0000-0B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B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96"/>
  <sheetViews>
    <sheetView showGridLines="0" workbookViewId="0">
      <pane xSplit="1" ySplit="16" topLeftCell="B17" activePane="bottomRight" state="frozen"/>
      <selection pane="topRight" activeCell="B1" sqref="B1"/>
      <selection pane="bottomLeft" activeCell="A17" sqref="A17"/>
      <selection pane="bottomRight" activeCell="B29" sqref="B29"/>
    </sheetView>
  </sheetViews>
  <sheetFormatPr defaultColWidth="9.140625" defaultRowHeight="11.25" x14ac:dyDescent="0.2"/>
  <cols>
    <col min="1" max="1" width="11.85546875" style="3" customWidth="1"/>
    <col min="2" max="2" width="14.710937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140</v>
      </c>
    </row>
    <row r="6" spans="1:7" x14ac:dyDescent="0.2">
      <c r="A6" s="4" t="s">
        <v>12</v>
      </c>
      <c r="B6" s="3" t="str">
        <f>Cover!C13 &amp; "-" &amp; Cover!D13</f>
        <v>12-2025</v>
      </c>
    </row>
    <row r="7" spans="1:7" hidden="1" x14ac:dyDescent="0.2"/>
    <row r="8" spans="1:7" hidden="1" x14ac:dyDescent="0.2"/>
    <row r="9" spans="1:7" ht="32.450000000000003"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142779</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0FEwaNd3sXaPfufg/tfHs27l1/H+AvZ4wCna9h4sCMeYA6Nw+ghi5e0uaSKd2ABb+nSMkyV8Qr89YRJtaAiVvg==" saltValue="IUKCAsjJKzPZZ9rHVE6qBQ==" spinCount="100000" sheet="1"/>
  <mergeCells count="6">
    <mergeCell ref="B2:D3"/>
    <mergeCell ref="E1:G4"/>
    <mergeCell ref="B9"/>
    <mergeCell ref="B15"/>
    <mergeCell ref="B13:B14"/>
    <mergeCell ref="B10"/>
  </mergeCells>
  <conditionalFormatting sqref="B15">
    <cfRule type="containsText" dxfId="5" priority="1" operator="containsText" text="13">
      <formula>NOT(ISERROR(SEARCH("13",B15)))</formula>
    </cfRule>
    <cfRule type="expression" dxfId="4" priority="2">
      <formula>NOT(AND(SUM(B51)=0,ISBLANK(B15)))</formula>
    </cfRule>
  </conditionalFormatting>
  <dataValidations count="2">
    <dataValidation type="list" sqref="B15" xr:uid="{00000000-0002-0000-0C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C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96"/>
  <sheetViews>
    <sheetView showGridLines="0" workbookViewId="0">
      <pane xSplit="1" ySplit="16" topLeftCell="B25" activePane="bottomRight" state="frozen"/>
      <selection pane="topRight" activeCell="B1" sqref="B1"/>
      <selection pane="bottomLeft" activeCell="A17" sqref="A17"/>
      <selection pane="bottomRight" activeCell="G37" sqref="G37"/>
    </sheetView>
  </sheetViews>
  <sheetFormatPr defaultColWidth="9.140625" defaultRowHeight="11.25" x14ac:dyDescent="0.2"/>
  <cols>
    <col min="1" max="1" width="11.85546875" style="3" customWidth="1"/>
    <col min="2"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141</v>
      </c>
    </row>
    <row r="6" spans="1:7" x14ac:dyDescent="0.2">
      <c r="A6" s="4" t="s">
        <v>12</v>
      </c>
      <c r="B6" s="3" t="str">
        <f>Cover!C13 &amp; "-" &amp; Cover!D13</f>
        <v>12-2025</v>
      </c>
    </row>
    <row r="7" spans="1:7" hidden="1" x14ac:dyDescent="0.2"/>
    <row r="8" spans="1:7" hidden="1" x14ac:dyDescent="0.2"/>
    <row r="9" spans="1:7" ht="33" customHeight="1" x14ac:dyDescent="0.2">
      <c r="A9" s="16" t="s">
        <v>39</v>
      </c>
      <c r="B9" s="46" t="s">
        <v>142</v>
      </c>
      <c r="C9" s="47" t="s">
        <v>142</v>
      </c>
      <c r="D9" s="48" t="s">
        <v>142</v>
      </c>
    </row>
    <row r="10" spans="1:7" x14ac:dyDescent="0.2">
      <c r="A10" s="17" t="s">
        <v>41</v>
      </c>
      <c r="B10" s="52" t="s">
        <v>42</v>
      </c>
      <c r="C10" s="46" t="s">
        <v>128</v>
      </c>
      <c r="D10" s="48" t="s">
        <v>128</v>
      </c>
    </row>
    <row r="11" spans="1:7" x14ac:dyDescent="0.2">
      <c r="A11" s="17" t="s">
        <v>47</v>
      </c>
      <c r="B11" s="5" t="s">
        <v>48</v>
      </c>
      <c r="C11" s="5" t="s">
        <v>49</v>
      </c>
      <c r="D11" s="23" t="s">
        <v>50</v>
      </c>
    </row>
    <row r="12" spans="1:7" x14ac:dyDescent="0.2">
      <c r="A12" s="17" t="s">
        <v>53</v>
      </c>
      <c r="B12" s="9" t="s">
        <v>123</v>
      </c>
      <c r="C12" s="9" t="s">
        <v>123</v>
      </c>
      <c r="D12" s="24" t="s">
        <v>123</v>
      </c>
    </row>
    <row r="13" spans="1:7" x14ac:dyDescent="0.2">
      <c r="A13" s="17" t="s">
        <v>56</v>
      </c>
      <c r="B13" s="50" t="s">
        <v>57</v>
      </c>
      <c r="C13" s="50" t="s">
        <v>57</v>
      </c>
      <c r="D13" s="54" t="s">
        <v>57</v>
      </c>
    </row>
    <row r="14" spans="1:7" x14ac:dyDescent="0.2">
      <c r="A14" s="17" t="s">
        <v>58</v>
      </c>
      <c r="B14" s="51" t="s">
        <v>57</v>
      </c>
      <c r="C14" s="51" t="s">
        <v>57</v>
      </c>
      <c r="D14" s="55" t="s">
        <v>57</v>
      </c>
    </row>
    <row r="15" spans="1:7" x14ac:dyDescent="0.2">
      <c r="A15" s="17" t="s">
        <v>59</v>
      </c>
      <c r="B15" s="49"/>
      <c r="C15" s="49"/>
      <c r="D15" s="53"/>
    </row>
    <row r="16" spans="1:7" x14ac:dyDescent="0.2">
      <c r="A16" s="18" t="s">
        <v>60</v>
      </c>
      <c r="B16" s="12"/>
      <c r="C16" s="12"/>
      <c r="D16" s="25"/>
    </row>
    <row r="17" spans="1:4" hidden="1" x14ac:dyDescent="0.2">
      <c r="A17" s="17" t="s">
        <v>61</v>
      </c>
      <c r="B17" s="6">
        <v>142780</v>
      </c>
      <c r="C17" s="6">
        <v>142783</v>
      </c>
      <c r="D17" s="26">
        <v>142783</v>
      </c>
    </row>
    <row r="18" spans="1:4" hidden="1" x14ac:dyDescent="0.2">
      <c r="A18" s="17" t="s">
        <v>62</v>
      </c>
      <c r="B18" s="6">
        <v>157</v>
      </c>
      <c r="C18" s="6">
        <v>162</v>
      </c>
      <c r="D18" s="26">
        <v>164</v>
      </c>
    </row>
    <row r="19" spans="1:4" x14ac:dyDescent="0.2">
      <c r="A19" s="19" t="s">
        <v>63</v>
      </c>
      <c r="B19" s="7"/>
      <c r="C19" s="7"/>
      <c r="D19" s="33" t="str">
        <f>IF(LEFT(C19,1)="&lt;","&lt;",IF(AND(ISNUMBER('019-EFFLUENT'!B65),ISNUMBER(C65)),SUM(('019-EFFLUENT'!B65 *  C65) * 8.34),""))</f>
        <v/>
      </c>
    </row>
    <row r="20" spans="1:4" x14ac:dyDescent="0.2">
      <c r="A20" s="19">
        <v>2</v>
      </c>
      <c r="B20" s="7">
        <v>0.17</v>
      </c>
      <c r="C20" s="7">
        <v>0.35</v>
      </c>
      <c r="D20" s="33">
        <f>IF(LEFT(C20,1)="&lt;","&lt;",IF(AND(ISNUMBER('019-EFFLUENT'!B66),ISNUMBER(C66)),SUM(('019-EFFLUENT'!B66 *  C66) * 8.34),""))</f>
        <v>0.49622999999999995</v>
      </c>
    </row>
    <row r="21" spans="1:4" x14ac:dyDescent="0.2">
      <c r="A21" s="19">
        <v>3</v>
      </c>
      <c r="B21" s="7"/>
      <c r="C21" s="7"/>
      <c r="D21" s="33" t="str">
        <f>IF(LEFT(C21,1)="&lt;","&lt;",IF(AND(ISNUMBER('019-EFFLUENT'!B67),ISNUMBER(C67)),SUM(('019-EFFLUENT'!B67 *  C67) * 8.34),""))</f>
        <v/>
      </c>
    </row>
    <row r="22" spans="1:4" x14ac:dyDescent="0.2">
      <c r="A22" s="19">
        <v>4</v>
      </c>
      <c r="B22" s="7"/>
      <c r="C22" s="7"/>
      <c r="D22" s="33" t="str">
        <f>IF(LEFT(C22,1)="&lt;","&lt;",IF(AND(ISNUMBER('019-EFFLUENT'!B68),ISNUMBER(C68)),SUM(('019-EFFLUENT'!B68 *  C68) * 8.34),""))</f>
        <v/>
      </c>
    </row>
    <row r="23" spans="1:4" x14ac:dyDescent="0.2">
      <c r="A23" s="19">
        <v>5</v>
      </c>
      <c r="B23" s="7"/>
      <c r="C23" s="7"/>
      <c r="D23" s="33" t="str">
        <f>IF(LEFT(C23,1)="&lt;","&lt;",IF(AND(ISNUMBER('019-EFFLUENT'!B69),ISNUMBER(C69)),SUM(('019-EFFLUENT'!B69 *  C69) * 8.34),""))</f>
        <v/>
      </c>
    </row>
    <row r="24" spans="1:4" x14ac:dyDescent="0.2">
      <c r="A24" s="19">
        <v>6</v>
      </c>
      <c r="B24" s="7"/>
      <c r="C24" s="7"/>
      <c r="D24" s="33" t="str">
        <f>IF(LEFT(C24,1)="&lt;","&lt;",IF(AND(ISNUMBER('019-EFFLUENT'!B70),ISNUMBER(C70)),SUM(('019-EFFLUENT'!B70 *  C70) * 8.34),""))</f>
        <v/>
      </c>
    </row>
    <row r="25" spans="1:4" x14ac:dyDescent="0.2">
      <c r="A25" s="20">
        <v>7</v>
      </c>
      <c r="B25" s="12"/>
      <c r="C25" s="12"/>
      <c r="D25" s="34" t="str">
        <f>IF(LEFT(C25,1)="&lt;","&lt;",IF(AND(ISNUMBER('019-EFFLUENT'!B71),ISNUMBER(C71)),SUM(('019-EFFLUENT'!B71 *  C71) * 8.34),""))</f>
        <v/>
      </c>
    </row>
    <row r="26" spans="1:4" x14ac:dyDescent="0.2">
      <c r="A26" s="19">
        <v>8</v>
      </c>
      <c r="B26" s="7"/>
      <c r="C26" s="7"/>
      <c r="D26" s="33" t="str">
        <f>IF(LEFT(C26,1)="&lt;","&lt;",IF(AND(ISNUMBER('019-EFFLUENT'!B72),ISNUMBER(C72)),SUM(('019-EFFLUENT'!B72 *  C72) * 8.34),""))</f>
        <v/>
      </c>
    </row>
    <row r="27" spans="1:4" x14ac:dyDescent="0.2">
      <c r="A27" s="19">
        <v>9</v>
      </c>
      <c r="B27" s="7">
        <v>0.09</v>
      </c>
      <c r="C27" s="7">
        <v>0.12</v>
      </c>
      <c r="D27" s="33">
        <f>IF(LEFT(C27,1)="&lt;","&lt;",IF(AND(ISNUMBER('019-EFFLUENT'!B73),ISNUMBER(C73)),SUM(('019-EFFLUENT'!B73 *  C73) * 8.34),""))</f>
        <v>9.0071999999999985E-2</v>
      </c>
    </row>
    <row r="28" spans="1:4" x14ac:dyDescent="0.2">
      <c r="A28" s="19">
        <v>10</v>
      </c>
      <c r="B28" s="7"/>
      <c r="C28" s="7"/>
      <c r="D28" s="33" t="str">
        <f>IF(LEFT(C28,1)="&lt;","&lt;",IF(AND(ISNUMBER('019-EFFLUENT'!B74),ISNUMBER(C74)),SUM(('019-EFFLUENT'!B74 *  C74) * 8.34),""))</f>
        <v/>
      </c>
    </row>
    <row r="29" spans="1:4" x14ac:dyDescent="0.2">
      <c r="A29" s="19">
        <v>11</v>
      </c>
      <c r="B29" s="7"/>
      <c r="C29" s="7"/>
      <c r="D29" s="33" t="str">
        <f>IF(LEFT(C29,1)="&lt;","&lt;",IF(AND(ISNUMBER('019-EFFLUENT'!B75),ISNUMBER(C75)),SUM(('019-EFFLUENT'!B75 *  C75) * 8.34),""))</f>
        <v/>
      </c>
    </row>
    <row r="30" spans="1:4" x14ac:dyDescent="0.2">
      <c r="A30" s="19">
        <v>12</v>
      </c>
      <c r="B30" s="7"/>
      <c r="C30" s="7"/>
      <c r="D30" s="33" t="str">
        <f>IF(LEFT(C30,1)="&lt;","&lt;",IF(AND(ISNUMBER('019-EFFLUENT'!B76),ISNUMBER(C76)),SUM(('019-EFFLUENT'!B76 *  C76) * 8.34),""))</f>
        <v/>
      </c>
    </row>
    <row r="31" spans="1:4" x14ac:dyDescent="0.2">
      <c r="A31" s="19">
        <v>13</v>
      </c>
      <c r="B31" s="7"/>
      <c r="C31" s="7"/>
      <c r="D31" s="33" t="str">
        <f>IF(LEFT(C31,1)="&lt;","&lt;",IF(AND(ISNUMBER('019-EFFLUENT'!B77),ISNUMBER(C77)),SUM(('019-EFFLUENT'!B77 *  C77) * 8.34),""))</f>
        <v/>
      </c>
    </row>
    <row r="32" spans="1:4" x14ac:dyDescent="0.2">
      <c r="A32" s="20">
        <v>14</v>
      </c>
      <c r="B32" s="12"/>
      <c r="C32" s="12"/>
      <c r="D32" s="34" t="str">
        <f>IF(LEFT(C32,1)="&lt;","&lt;",IF(AND(ISNUMBER('019-EFFLUENT'!B78),ISNUMBER(C78)),SUM(('019-EFFLUENT'!B78 *  C78) * 8.34),""))</f>
        <v/>
      </c>
    </row>
    <row r="33" spans="1:4" x14ac:dyDescent="0.2">
      <c r="A33" s="19">
        <v>15</v>
      </c>
      <c r="B33" s="7"/>
      <c r="C33" s="7"/>
      <c r="D33" s="33" t="str">
        <f>IF(LEFT(C33,1)="&lt;","&lt;",IF(AND(ISNUMBER('019-EFFLUENT'!B79),ISNUMBER(C79)),SUM(('019-EFFLUENT'!B79 *  C79) * 8.34),""))</f>
        <v/>
      </c>
    </row>
    <row r="34" spans="1:4" x14ac:dyDescent="0.2">
      <c r="A34" s="19">
        <v>16</v>
      </c>
      <c r="B34" s="7"/>
      <c r="C34" s="7"/>
      <c r="D34" s="33" t="str">
        <f>IF(LEFT(C34,1)="&lt;","&lt;",IF(AND(ISNUMBER('019-EFFLUENT'!B80),ISNUMBER(C80)),SUM(('019-EFFLUENT'!B80 *  C80) * 8.34),""))</f>
        <v/>
      </c>
    </row>
    <row r="35" spans="1:4" x14ac:dyDescent="0.2">
      <c r="A35" s="19">
        <v>17</v>
      </c>
      <c r="B35" s="7"/>
      <c r="C35" s="7"/>
      <c r="D35" s="33" t="str">
        <f>IF(LEFT(C35,1)="&lt;","&lt;",IF(AND(ISNUMBER('019-EFFLUENT'!B81),ISNUMBER(C81)),SUM(('019-EFFLUENT'!B81 *  C81) * 8.34),""))</f>
        <v/>
      </c>
    </row>
    <row r="36" spans="1:4" x14ac:dyDescent="0.2">
      <c r="A36" s="19">
        <v>18</v>
      </c>
      <c r="B36" s="7"/>
      <c r="C36" s="7"/>
      <c r="D36" s="33" t="str">
        <f>IF(LEFT(C36,1)="&lt;","&lt;",IF(AND(ISNUMBER('019-EFFLUENT'!B82),ISNUMBER(C82)),SUM(('019-EFFLUENT'!B82 *  C82) * 8.34),""))</f>
        <v/>
      </c>
    </row>
    <row r="37" spans="1:4" x14ac:dyDescent="0.2">
      <c r="A37" s="19">
        <v>19</v>
      </c>
      <c r="B37" s="7"/>
      <c r="C37" s="7"/>
      <c r="D37" s="33" t="str">
        <f>IF(LEFT(C37,1)="&lt;","&lt;",IF(AND(ISNUMBER('019-EFFLUENT'!B83),ISNUMBER(C83)),SUM(('019-EFFLUENT'!B83 *  C83) * 8.34),""))</f>
        <v/>
      </c>
    </row>
    <row r="38" spans="1:4" x14ac:dyDescent="0.2">
      <c r="A38" s="19">
        <v>20</v>
      </c>
      <c r="B38" s="7"/>
      <c r="C38" s="7"/>
      <c r="D38" s="33" t="str">
        <f>IF(LEFT(C38,1)="&lt;","&lt;",IF(AND(ISNUMBER('019-EFFLUENT'!B84),ISNUMBER(C84)),SUM(('019-EFFLUENT'!B84 *  C84) * 8.34),""))</f>
        <v/>
      </c>
    </row>
    <row r="39" spans="1:4" x14ac:dyDescent="0.2">
      <c r="A39" s="20">
        <v>21</v>
      </c>
      <c r="B39" s="12"/>
      <c r="C39" s="12"/>
      <c r="D39" s="34" t="str">
        <f>IF(LEFT(C39,1)="&lt;","&lt;",IF(AND(ISNUMBER('019-EFFLUENT'!B85),ISNUMBER(C85)),SUM(('019-EFFLUENT'!B85 *  C85) * 8.34),""))</f>
        <v/>
      </c>
    </row>
    <row r="40" spans="1:4" x14ac:dyDescent="0.2">
      <c r="A40" s="19">
        <v>22</v>
      </c>
      <c r="B40" s="7"/>
      <c r="C40" s="7"/>
      <c r="D40" s="33" t="str">
        <f>IF(LEFT(C40,1)="&lt;","&lt;",IF(AND(ISNUMBER('019-EFFLUENT'!B86),ISNUMBER(C86)),SUM(('019-EFFLUENT'!B86 *  C86) * 8.34),""))</f>
        <v/>
      </c>
    </row>
    <row r="41" spans="1:4" x14ac:dyDescent="0.2">
      <c r="A41" s="19">
        <v>23</v>
      </c>
      <c r="B41" s="7"/>
      <c r="C41" s="7"/>
      <c r="D41" s="33" t="str">
        <f>IF(LEFT(C41,1)="&lt;","&lt;",IF(AND(ISNUMBER('019-EFFLUENT'!B87),ISNUMBER(C87)),SUM(('019-EFFLUENT'!B87 *  C87) * 8.34),""))</f>
        <v/>
      </c>
    </row>
    <row r="42" spans="1:4" x14ac:dyDescent="0.2">
      <c r="A42" s="19">
        <v>24</v>
      </c>
      <c r="B42" s="7"/>
      <c r="C42" s="7"/>
      <c r="D42" s="33" t="str">
        <f>IF(LEFT(C42,1)="&lt;","&lt;",IF(AND(ISNUMBER('019-EFFLUENT'!B88),ISNUMBER(C88)),SUM(('019-EFFLUENT'!B88 *  C88) * 8.34),""))</f>
        <v/>
      </c>
    </row>
    <row r="43" spans="1:4" x14ac:dyDescent="0.2">
      <c r="A43" s="19">
        <v>25</v>
      </c>
      <c r="B43" s="7"/>
      <c r="C43" s="7"/>
      <c r="D43" s="33" t="str">
        <f>IF(LEFT(C43,1)="&lt;","&lt;",IF(AND(ISNUMBER('019-EFFLUENT'!B89),ISNUMBER(C89)),SUM(('019-EFFLUENT'!B89 *  C89) * 8.34),""))</f>
        <v/>
      </c>
    </row>
    <row r="44" spans="1:4" x14ac:dyDescent="0.2">
      <c r="A44" s="19">
        <v>26</v>
      </c>
      <c r="B44" s="7"/>
      <c r="C44" s="7"/>
      <c r="D44" s="33" t="str">
        <f>IF(LEFT(C44,1)="&lt;","&lt;",IF(AND(ISNUMBER('019-EFFLUENT'!B90),ISNUMBER(C90)),SUM(('019-EFFLUENT'!B90 *  C90) * 8.34),""))</f>
        <v/>
      </c>
    </row>
    <row r="45" spans="1:4" x14ac:dyDescent="0.2">
      <c r="A45" s="19">
        <v>27</v>
      </c>
      <c r="B45" s="7"/>
      <c r="C45" s="7"/>
      <c r="D45" s="33" t="str">
        <f>IF(LEFT(C45,1)="&lt;","&lt;",IF(AND(ISNUMBER('019-EFFLUENT'!B91),ISNUMBER(C91)),SUM(('019-EFFLUENT'!B91 *  C91) * 8.34),""))</f>
        <v/>
      </c>
    </row>
    <row r="46" spans="1:4" x14ac:dyDescent="0.2">
      <c r="A46" s="20">
        <v>28</v>
      </c>
      <c r="B46" s="12"/>
      <c r="C46" s="12"/>
      <c r="D46" s="34" t="str">
        <f>IF(LEFT(C46,1)="&lt;","&lt;",IF(AND(ISNUMBER('019-EFFLUENT'!B92),ISNUMBER(C92)),SUM(('019-EFFLUENT'!B92 *  C92) * 8.34),""))</f>
        <v/>
      </c>
    </row>
    <row r="47" spans="1:4" x14ac:dyDescent="0.2">
      <c r="A47" s="19">
        <v>29</v>
      </c>
      <c r="B47" s="7"/>
      <c r="C47" s="7"/>
      <c r="D47" s="33" t="str">
        <f>IF(LEFT(C47,1)="&lt;","&lt;",IF(AND(ISNUMBER('019-EFFLUENT'!B93),ISNUMBER(C93)),SUM(('019-EFFLUENT'!B93 *  C93) * 8.34),""))</f>
        <v/>
      </c>
    </row>
    <row r="48" spans="1:4" x14ac:dyDescent="0.2">
      <c r="A48" s="19">
        <v>30</v>
      </c>
      <c r="B48" s="7"/>
      <c r="C48" s="7"/>
      <c r="D48" s="33" t="str">
        <f>IF(LEFT(C48,1)="&lt;","&lt;",IF(AND(ISNUMBER('019-EFFLUENT'!B94),ISNUMBER(C94)),SUM(('019-EFFLUENT'!B94 *  C94) * 8.34),""))</f>
        <v/>
      </c>
    </row>
    <row r="49" spans="1:4" x14ac:dyDescent="0.2">
      <c r="A49" s="19">
        <v>31</v>
      </c>
      <c r="B49" s="7"/>
      <c r="C49" s="7"/>
      <c r="D49" s="33" t="str">
        <f>IF(LEFT(C49,1)="&lt;","&lt;",IF(AND(ISNUMBER('019-EFFLUENT'!B95),ISNUMBER(C95)),SUM(('019-EFFLUENT'!B95 *  C95) * 8.34),""))</f>
        <v/>
      </c>
    </row>
    <row r="50" spans="1:4" hidden="1" x14ac:dyDescent="0.2">
      <c r="A50" s="21"/>
      <c r="B50" s="8"/>
      <c r="C50" s="8"/>
      <c r="D50" s="33" t="str">
        <f>IF(LEFT(C50,1)="&lt;","&lt;",IF(AND(ISNUMBER('019-EFFLUENT'!B96),ISNUMBER(C96)),SUM(('019-EFFLUENT'!B96 *  C96) * 8.34),""))</f>
        <v/>
      </c>
    </row>
    <row r="51" spans="1:4" x14ac:dyDescent="0.2">
      <c r="A51" s="22" t="s">
        <v>64</v>
      </c>
      <c r="B51" s="13">
        <f>IF(COUNTA(B19:B50)&gt;0,SUM(B65:B96),"")</f>
        <v>0.26</v>
      </c>
      <c r="C51" s="13">
        <f>IF(COUNTA(C19:C50)&gt;0,SUM(C65:C96),"")</f>
        <v>0.47</v>
      </c>
      <c r="D51" s="28">
        <f>IF(COUNTA(D19:D50)&gt;0,SUM(D65:D96),"")</f>
        <v>0.58630199999999988</v>
      </c>
    </row>
    <row r="52" spans="1:4" x14ac:dyDescent="0.2">
      <c r="A52" s="19" t="s">
        <v>65</v>
      </c>
      <c r="B52" s="10">
        <f>IF(ISNUMBER(AVERAGE(B65:B96)),AVERAGE(B65:B96),"")</f>
        <v>0.13</v>
      </c>
      <c r="C52" s="10">
        <f>IF(ISNUMBER(AVERAGE(C65:C96)),AVERAGE(C65:C96),"")</f>
        <v>0.23499999999999999</v>
      </c>
      <c r="D52" s="29">
        <f>IF(ISNUMBER(AVERAGE(D65:D96)),AVERAGE(D65:D96),"")</f>
        <v>0.29315099999999994</v>
      </c>
    </row>
    <row r="53" spans="1:4" x14ac:dyDescent="0.2">
      <c r="A53" s="19" t="s">
        <v>66</v>
      </c>
      <c r="B53" s="10">
        <f>IF(MAX(B65:B96)=0,"",MAX(B65:B96))</f>
        <v>0.17</v>
      </c>
      <c r="C53" s="10">
        <f>IF(MAX(C65:C96)=0,"",MAX(C65:C96))</f>
        <v>0.35</v>
      </c>
      <c r="D53" s="29">
        <f>IF(MAX(D65:D96)=0,"",MAX(D65:D96))</f>
        <v>0.49622999999999995</v>
      </c>
    </row>
    <row r="54" spans="1:4" x14ac:dyDescent="0.2">
      <c r="A54" s="19" t="s">
        <v>67</v>
      </c>
      <c r="B54" s="10">
        <f>IF(MIN(B65:B96)=0,"",MIN(B65:B96))</f>
        <v>0.09</v>
      </c>
      <c r="C54" s="10">
        <f>IF(MIN(C65:C96)=0,"",MIN(C65:C96))</f>
        <v>0.12</v>
      </c>
      <c r="D54" s="29">
        <f>IF(MIN(D65:D96)=0,"",MIN(D65:D96))</f>
        <v>9.0071999999999985E-2</v>
      </c>
    </row>
    <row r="55" spans="1:4" x14ac:dyDescent="0.2">
      <c r="A55" s="19" t="s">
        <v>68</v>
      </c>
      <c r="B55" s="10">
        <f>IF(MAX(B57:B60)=0,"",MAX(B57:B60))</f>
        <v>0.17</v>
      </c>
      <c r="C55" s="10">
        <f>IF(MAX(C57:C60)=0,"",MAX(C57:C60))</f>
        <v>0.35</v>
      </c>
      <c r="D55" s="29">
        <f>IF(MAX(D57:D60)=0,"",MAX(D57:D60))</f>
        <v>0.49622999999999995</v>
      </c>
    </row>
    <row r="56" spans="1:4" x14ac:dyDescent="0.2">
      <c r="A56" s="21"/>
      <c r="D56" s="30"/>
    </row>
    <row r="57" spans="1:4" hidden="1" x14ac:dyDescent="0.2">
      <c r="A57" s="22" t="s">
        <v>69</v>
      </c>
      <c r="B57" s="13">
        <f>IF(SUM(B65:B71)&gt;0,AVERAGE(B65:B71),"")</f>
        <v>0.17</v>
      </c>
      <c r="C57" s="13">
        <f>IF(SUM(C65:C71)&gt;0,AVERAGE(C65:C71),"")</f>
        <v>0.35</v>
      </c>
      <c r="D57" s="28">
        <f>IF(SUM(D65:D71)&gt;0,AVERAGE(D65:D71),"")</f>
        <v>0.49622999999999995</v>
      </c>
    </row>
    <row r="58" spans="1:4" hidden="1" x14ac:dyDescent="0.2">
      <c r="A58" s="19" t="s">
        <v>70</v>
      </c>
      <c r="B58" s="10">
        <f>IF(SUM(B72:B78)&gt;0,AVERAGE(B72:B78),"")</f>
        <v>0.09</v>
      </c>
      <c r="C58" s="10">
        <f>IF(SUM(C72:C78)&gt;0,AVERAGE(C72:C78),"")</f>
        <v>0.12</v>
      </c>
      <c r="D58" s="29">
        <f>IF(SUM(D72:D78)&gt;0,AVERAGE(D72:D78),"")</f>
        <v>9.0071999999999985E-2</v>
      </c>
    </row>
    <row r="59" spans="1:4" hidden="1" x14ac:dyDescent="0.2">
      <c r="A59" s="19" t="s">
        <v>71</v>
      </c>
      <c r="B59" s="10" t="str">
        <f>IF(SUM(B79:B85)&gt;0,AVERAGE(B79:B85),"")</f>
        <v/>
      </c>
      <c r="C59" s="10" t="str">
        <f>IF(SUM(C79:C85)&gt;0,AVERAGE(C79:C85),"")</f>
        <v/>
      </c>
      <c r="D59" s="29" t="str">
        <f>IF(SUM(D79:D85)&gt;0,AVERAGE(D79:D85),"")</f>
        <v/>
      </c>
    </row>
    <row r="60" spans="1:4" hidden="1" x14ac:dyDescent="0.2">
      <c r="A60" s="20" t="s">
        <v>72</v>
      </c>
      <c r="B60" s="15" t="str">
        <f>IF(SUM(B86:B92)&gt;0,AVERAGE(B86:B92),"")</f>
        <v/>
      </c>
      <c r="C60" s="15" t="str">
        <f>IF(SUM(C86:C92)&gt;0,AVERAGE(C86:C92),"")</f>
        <v/>
      </c>
      <c r="D60" s="31" t="str">
        <f>IF(SUM(D86:D92)&gt;0,AVERAGE(D86:D92),"")</f>
        <v/>
      </c>
    </row>
    <row r="65" spans="1:4" hidden="1" x14ac:dyDescent="0.2">
      <c r="A65" s="4" t="s">
        <v>73</v>
      </c>
      <c r="B65" s="3" t="str">
        <f t="shared" ref="B65:D96" si="0">IF(LEFT(B19,1) = "&lt;",0, IF(ISBLANK(B19),"",B19))</f>
        <v/>
      </c>
      <c r="C65" s="3" t="str">
        <f t="shared" si="0"/>
        <v/>
      </c>
      <c r="D65" s="3" t="str">
        <f t="shared" si="0"/>
        <v/>
      </c>
    </row>
    <row r="66" spans="1:4" hidden="1" x14ac:dyDescent="0.2">
      <c r="A66" s="4" t="s">
        <v>74</v>
      </c>
      <c r="B66" s="3">
        <f t="shared" si="0"/>
        <v>0.17</v>
      </c>
      <c r="C66" s="3">
        <f t="shared" si="0"/>
        <v>0.35</v>
      </c>
      <c r="D66" s="3">
        <f t="shared" si="0"/>
        <v>0.49622999999999995</v>
      </c>
    </row>
    <row r="67" spans="1:4" hidden="1" x14ac:dyDescent="0.2">
      <c r="A67" s="4" t="s">
        <v>75</v>
      </c>
      <c r="B67" s="3" t="str">
        <f t="shared" si="0"/>
        <v/>
      </c>
      <c r="C67" s="3" t="str">
        <f t="shared" si="0"/>
        <v/>
      </c>
      <c r="D67" s="3" t="str">
        <f t="shared" si="0"/>
        <v/>
      </c>
    </row>
    <row r="68" spans="1:4" hidden="1" x14ac:dyDescent="0.2">
      <c r="A68" s="4" t="s">
        <v>76</v>
      </c>
      <c r="B68" s="3" t="str">
        <f t="shared" si="0"/>
        <v/>
      </c>
      <c r="C68" s="3" t="str">
        <f t="shared" si="0"/>
        <v/>
      </c>
      <c r="D68" s="3" t="str">
        <f t="shared" si="0"/>
        <v/>
      </c>
    </row>
    <row r="69" spans="1:4" hidden="1" x14ac:dyDescent="0.2">
      <c r="A69" s="4" t="s">
        <v>77</v>
      </c>
      <c r="B69" s="3" t="str">
        <f t="shared" si="0"/>
        <v/>
      </c>
      <c r="C69" s="3" t="str">
        <f t="shared" si="0"/>
        <v/>
      </c>
      <c r="D69" s="3" t="str">
        <f t="shared" si="0"/>
        <v/>
      </c>
    </row>
    <row r="70" spans="1:4" hidden="1" x14ac:dyDescent="0.2">
      <c r="A70" s="4" t="s">
        <v>78</v>
      </c>
      <c r="B70" s="3" t="str">
        <f t="shared" si="0"/>
        <v/>
      </c>
      <c r="C70" s="3" t="str">
        <f t="shared" si="0"/>
        <v/>
      </c>
      <c r="D70" s="3" t="str">
        <f t="shared" si="0"/>
        <v/>
      </c>
    </row>
    <row r="71" spans="1:4" hidden="1" x14ac:dyDescent="0.2">
      <c r="A71" s="4" t="s">
        <v>79</v>
      </c>
      <c r="B71" s="3" t="str">
        <f t="shared" si="0"/>
        <v/>
      </c>
      <c r="C71" s="3" t="str">
        <f t="shared" si="0"/>
        <v/>
      </c>
      <c r="D71" s="3" t="str">
        <f t="shared" si="0"/>
        <v/>
      </c>
    </row>
    <row r="72" spans="1:4" hidden="1" x14ac:dyDescent="0.2">
      <c r="A72" s="4" t="s">
        <v>80</v>
      </c>
      <c r="B72" s="3" t="str">
        <f t="shared" si="0"/>
        <v/>
      </c>
      <c r="C72" s="3" t="str">
        <f t="shared" si="0"/>
        <v/>
      </c>
      <c r="D72" s="3" t="str">
        <f t="shared" si="0"/>
        <v/>
      </c>
    </row>
    <row r="73" spans="1:4" hidden="1" x14ac:dyDescent="0.2">
      <c r="A73" s="4" t="s">
        <v>81</v>
      </c>
      <c r="B73" s="3">
        <f t="shared" si="0"/>
        <v>0.09</v>
      </c>
      <c r="C73" s="3">
        <f t="shared" si="0"/>
        <v>0.12</v>
      </c>
      <c r="D73" s="3">
        <f t="shared" si="0"/>
        <v>9.0071999999999985E-2</v>
      </c>
    </row>
    <row r="74" spans="1:4" hidden="1" x14ac:dyDescent="0.2">
      <c r="A74" s="4" t="s">
        <v>82</v>
      </c>
      <c r="B74" s="3" t="str">
        <f t="shared" si="0"/>
        <v/>
      </c>
      <c r="C74" s="3" t="str">
        <f t="shared" si="0"/>
        <v/>
      </c>
      <c r="D74" s="3" t="str">
        <f t="shared" si="0"/>
        <v/>
      </c>
    </row>
    <row r="75" spans="1:4" hidden="1" x14ac:dyDescent="0.2">
      <c r="A75" s="4" t="s">
        <v>83</v>
      </c>
      <c r="B75" s="3" t="str">
        <f t="shared" si="0"/>
        <v/>
      </c>
      <c r="C75" s="3" t="str">
        <f t="shared" si="0"/>
        <v/>
      </c>
      <c r="D75" s="3" t="str">
        <f t="shared" si="0"/>
        <v/>
      </c>
    </row>
    <row r="76" spans="1:4" hidden="1" x14ac:dyDescent="0.2">
      <c r="A76" s="4" t="s">
        <v>84</v>
      </c>
      <c r="B76" s="3" t="str">
        <f t="shared" si="0"/>
        <v/>
      </c>
      <c r="C76" s="3" t="str">
        <f t="shared" si="0"/>
        <v/>
      </c>
      <c r="D76" s="3" t="str">
        <f t="shared" si="0"/>
        <v/>
      </c>
    </row>
    <row r="77" spans="1:4" hidden="1" x14ac:dyDescent="0.2">
      <c r="A77" s="4" t="s">
        <v>85</v>
      </c>
      <c r="B77" s="3" t="str">
        <f t="shared" si="0"/>
        <v/>
      </c>
      <c r="C77" s="3" t="str">
        <f t="shared" si="0"/>
        <v/>
      </c>
      <c r="D77" s="3" t="str">
        <f t="shared" si="0"/>
        <v/>
      </c>
    </row>
    <row r="78" spans="1:4" hidden="1" x14ac:dyDescent="0.2">
      <c r="A78" s="4" t="s">
        <v>86</v>
      </c>
      <c r="B78" s="3" t="str">
        <f t="shared" si="0"/>
        <v/>
      </c>
      <c r="C78" s="3" t="str">
        <f t="shared" si="0"/>
        <v/>
      </c>
      <c r="D78" s="3" t="str">
        <f t="shared" si="0"/>
        <v/>
      </c>
    </row>
    <row r="79" spans="1:4" hidden="1" x14ac:dyDescent="0.2">
      <c r="A79" s="4" t="s">
        <v>87</v>
      </c>
      <c r="B79" s="3" t="str">
        <f t="shared" si="0"/>
        <v/>
      </c>
      <c r="C79" s="3" t="str">
        <f t="shared" si="0"/>
        <v/>
      </c>
      <c r="D79" s="3" t="str">
        <f t="shared" si="0"/>
        <v/>
      </c>
    </row>
    <row r="80" spans="1:4" hidden="1" x14ac:dyDescent="0.2">
      <c r="A80" s="4" t="s">
        <v>88</v>
      </c>
      <c r="B80" s="3" t="str">
        <f t="shared" si="0"/>
        <v/>
      </c>
      <c r="C80" s="3" t="str">
        <f t="shared" si="0"/>
        <v/>
      </c>
      <c r="D80" s="3" t="str">
        <f t="shared" si="0"/>
        <v/>
      </c>
    </row>
    <row r="81" spans="1:4" hidden="1" x14ac:dyDescent="0.2">
      <c r="A81" s="4" t="s">
        <v>89</v>
      </c>
      <c r="B81" s="3" t="str">
        <f t="shared" si="0"/>
        <v/>
      </c>
      <c r="C81" s="3" t="str">
        <f t="shared" si="0"/>
        <v/>
      </c>
      <c r="D81" s="3" t="str">
        <f t="shared" si="0"/>
        <v/>
      </c>
    </row>
    <row r="82" spans="1:4" hidden="1" x14ac:dyDescent="0.2">
      <c r="A82" s="4" t="s">
        <v>90</v>
      </c>
      <c r="B82" s="3" t="str">
        <f t="shared" si="0"/>
        <v/>
      </c>
      <c r="C82" s="3" t="str">
        <f t="shared" si="0"/>
        <v/>
      </c>
      <c r="D82" s="3" t="str">
        <f t="shared" si="0"/>
        <v/>
      </c>
    </row>
    <row r="83" spans="1:4" hidden="1" x14ac:dyDescent="0.2">
      <c r="A83" s="4" t="s">
        <v>91</v>
      </c>
      <c r="B83" s="3" t="str">
        <f t="shared" si="0"/>
        <v/>
      </c>
      <c r="C83" s="3" t="str">
        <f t="shared" si="0"/>
        <v/>
      </c>
      <c r="D83" s="3" t="str">
        <f t="shared" si="0"/>
        <v/>
      </c>
    </row>
    <row r="84" spans="1:4" hidden="1" x14ac:dyDescent="0.2">
      <c r="A84" s="4" t="s">
        <v>92</v>
      </c>
      <c r="B84" s="3" t="str">
        <f t="shared" si="0"/>
        <v/>
      </c>
      <c r="C84" s="3" t="str">
        <f t="shared" si="0"/>
        <v/>
      </c>
      <c r="D84" s="3" t="str">
        <f t="shared" si="0"/>
        <v/>
      </c>
    </row>
    <row r="85" spans="1:4" hidden="1" x14ac:dyDescent="0.2">
      <c r="A85" s="4" t="s">
        <v>93</v>
      </c>
      <c r="B85" s="3" t="str">
        <f t="shared" si="0"/>
        <v/>
      </c>
      <c r="C85" s="3" t="str">
        <f t="shared" si="0"/>
        <v/>
      </c>
      <c r="D85" s="3" t="str">
        <f t="shared" si="0"/>
        <v/>
      </c>
    </row>
    <row r="86" spans="1:4" hidden="1" x14ac:dyDescent="0.2">
      <c r="A86" s="4" t="s">
        <v>94</v>
      </c>
      <c r="B86" s="3" t="str">
        <f t="shared" si="0"/>
        <v/>
      </c>
      <c r="C86" s="3" t="str">
        <f t="shared" si="0"/>
        <v/>
      </c>
      <c r="D86" s="3" t="str">
        <f t="shared" si="0"/>
        <v/>
      </c>
    </row>
    <row r="87" spans="1:4" hidden="1" x14ac:dyDescent="0.2">
      <c r="A87" s="4" t="s">
        <v>95</v>
      </c>
      <c r="B87" s="3" t="str">
        <f t="shared" si="0"/>
        <v/>
      </c>
      <c r="C87" s="3" t="str">
        <f t="shared" si="0"/>
        <v/>
      </c>
      <c r="D87" s="3" t="str">
        <f t="shared" si="0"/>
        <v/>
      </c>
    </row>
    <row r="88" spans="1:4" hidden="1" x14ac:dyDescent="0.2">
      <c r="A88" s="4" t="s">
        <v>96</v>
      </c>
      <c r="B88" s="3" t="str">
        <f t="shared" si="0"/>
        <v/>
      </c>
      <c r="C88" s="3" t="str">
        <f t="shared" si="0"/>
        <v/>
      </c>
      <c r="D88" s="3" t="str">
        <f t="shared" si="0"/>
        <v/>
      </c>
    </row>
    <row r="89" spans="1:4" hidden="1" x14ac:dyDescent="0.2">
      <c r="A89" s="4" t="s">
        <v>97</v>
      </c>
      <c r="B89" s="3" t="str">
        <f t="shared" si="0"/>
        <v/>
      </c>
      <c r="C89" s="3" t="str">
        <f t="shared" si="0"/>
        <v/>
      </c>
      <c r="D89" s="3" t="str">
        <f t="shared" si="0"/>
        <v/>
      </c>
    </row>
    <row r="90" spans="1:4" hidden="1" x14ac:dyDescent="0.2">
      <c r="A90" s="4" t="s">
        <v>98</v>
      </c>
      <c r="B90" s="3" t="str">
        <f t="shared" si="0"/>
        <v/>
      </c>
      <c r="C90" s="3" t="str">
        <f t="shared" si="0"/>
        <v/>
      </c>
      <c r="D90" s="3" t="str">
        <f t="shared" si="0"/>
        <v/>
      </c>
    </row>
    <row r="91" spans="1:4" hidden="1" x14ac:dyDescent="0.2">
      <c r="A91" s="4" t="s">
        <v>99</v>
      </c>
      <c r="B91" s="3" t="str">
        <f t="shared" si="0"/>
        <v/>
      </c>
      <c r="C91" s="3" t="str">
        <f t="shared" si="0"/>
        <v/>
      </c>
      <c r="D91" s="3" t="str">
        <f t="shared" si="0"/>
        <v/>
      </c>
    </row>
    <row r="92" spans="1:4" hidden="1" x14ac:dyDescent="0.2">
      <c r="A92" s="4" t="s">
        <v>100</v>
      </c>
      <c r="B92" s="3" t="str">
        <f t="shared" si="0"/>
        <v/>
      </c>
      <c r="C92" s="3" t="str">
        <f t="shared" si="0"/>
        <v/>
      </c>
      <c r="D92" s="3" t="str">
        <f t="shared" si="0"/>
        <v/>
      </c>
    </row>
    <row r="93" spans="1:4" hidden="1" x14ac:dyDescent="0.2">
      <c r="A93" s="4" t="s">
        <v>101</v>
      </c>
      <c r="B93" s="3" t="str">
        <f t="shared" si="0"/>
        <v/>
      </c>
      <c r="C93" s="3" t="str">
        <f t="shared" si="0"/>
        <v/>
      </c>
      <c r="D93" s="3" t="str">
        <f t="shared" si="0"/>
        <v/>
      </c>
    </row>
    <row r="94" spans="1:4" hidden="1" x14ac:dyDescent="0.2">
      <c r="A94" s="4" t="s">
        <v>102</v>
      </c>
      <c r="B94" s="3" t="str">
        <f t="shared" si="0"/>
        <v/>
      </c>
      <c r="C94" s="3" t="str">
        <f t="shared" si="0"/>
        <v/>
      </c>
      <c r="D94" s="3" t="str">
        <f t="shared" si="0"/>
        <v/>
      </c>
    </row>
    <row r="95" spans="1:4" hidden="1" x14ac:dyDescent="0.2">
      <c r="A95" s="4" t="s">
        <v>103</v>
      </c>
      <c r="B95" s="3" t="str">
        <f t="shared" si="0"/>
        <v/>
      </c>
      <c r="C95" s="3" t="str">
        <f t="shared" si="0"/>
        <v/>
      </c>
      <c r="D95" s="3" t="str">
        <f t="shared" si="0"/>
        <v/>
      </c>
    </row>
    <row r="96" spans="1:4" x14ac:dyDescent="0.2">
      <c r="B96" s="3" t="str">
        <f t="shared" si="0"/>
        <v/>
      </c>
      <c r="C96" s="3" t="str">
        <f t="shared" si="0"/>
        <v/>
      </c>
      <c r="D96" s="3" t="str">
        <f t="shared" si="0"/>
        <v/>
      </c>
    </row>
  </sheetData>
  <sheetProtection algorithmName="SHA-512" hashValue="I1zzWKlz+VWigz+6PsMPKC6K9a8B5ho2P3RPTNcrL8hqfJcgk7pHL+v2P6q7jVMFYgcH4BJ2b+GKztXeBS7yYg==" saltValue="/waeUEp3UKUwzIeAuloXYQ==" spinCount="100000" sheet="1"/>
  <mergeCells count="11">
    <mergeCell ref="B2:D3"/>
    <mergeCell ref="E1:G4"/>
    <mergeCell ref="B9:D9"/>
    <mergeCell ref="B15"/>
    <mergeCell ref="B13:B14"/>
    <mergeCell ref="B10"/>
    <mergeCell ref="C15"/>
    <mergeCell ref="C13:C14"/>
    <mergeCell ref="D15"/>
    <mergeCell ref="D13:D14"/>
    <mergeCell ref="C10:D10"/>
  </mergeCells>
  <conditionalFormatting sqref="B15:D15">
    <cfRule type="containsText" dxfId="3" priority="1" operator="containsText" text="13">
      <formula>NOT(ISERROR(SEARCH("13",B15)))</formula>
    </cfRule>
    <cfRule type="expression" dxfId="2" priority="2">
      <formula>NOT(AND(SUM(B51)=0,ISBLANK(B15)))</formula>
    </cfRule>
  </conditionalFormatting>
  <dataValidations count="2">
    <dataValidation type="list" sqref="B15:D15" xr:uid="{00000000-0002-0000-0D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D50" xr:uid="{00000000-0002-0000-0D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96"/>
  <sheetViews>
    <sheetView workbookViewId="0">
      <pane xSplit="1" ySplit="16" topLeftCell="B17" activePane="bottomRight" state="frozen"/>
      <selection pane="topRight" activeCell="B1" sqref="B1"/>
      <selection pane="bottomLeft" activeCell="A17" sqref="A17"/>
      <selection pane="bottomRight" activeCell="B29" sqref="B29"/>
    </sheetView>
  </sheetViews>
  <sheetFormatPr defaultColWidth="9.140625" defaultRowHeight="11.25" x14ac:dyDescent="0.2"/>
  <cols>
    <col min="1" max="1" width="11.85546875" style="3" customWidth="1"/>
    <col min="2" max="2" width="15.7109375" style="3" customWidth="1"/>
    <col min="3" max="4" width="9.140625" style="3" customWidth="1"/>
    <col min="5" max="7" width="15" style="3" customWidth="1"/>
    <col min="8" max="8" width="9.140625" style="3" customWidth="1"/>
    <col min="9" max="16384" width="9.140625" style="3"/>
  </cols>
  <sheetData>
    <row r="1" spans="1:7" x14ac:dyDescent="0.2">
      <c r="A1" s="4" t="s">
        <v>35</v>
      </c>
      <c r="B1" s="3" t="s">
        <v>11</v>
      </c>
      <c r="E1" s="37" t="s">
        <v>36</v>
      </c>
      <c r="F1" s="38" t="s">
        <v>36</v>
      </c>
      <c r="G1" s="39" t="s">
        <v>36</v>
      </c>
    </row>
    <row r="2" spans="1:7" x14ac:dyDescent="0.2">
      <c r="A2" s="4" t="s">
        <v>8</v>
      </c>
      <c r="B2" s="36" t="s">
        <v>9</v>
      </c>
      <c r="C2" s="36" t="s">
        <v>9</v>
      </c>
      <c r="D2" s="36" t="s">
        <v>9</v>
      </c>
      <c r="E2" s="40" t="s">
        <v>36</v>
      </c>
      <c r="F2" s="41" t="s">
        <v>36</v>
      </c>
      <c r="G2" s="42" t="s">
        <v>36</v>
      </c>
    </row>
    <row r="3" spans="1:7" x14ac:dyDescent="0.2">
      <c r="B3" s="36" t="s">
        <v>9</v>
      </c>
      <c r="C3" s="36" t="s">
        <v>9</v>
      </c>
      <c r="D3" s="36" t="s">
        <v>9</v>
      </c>
      <c r="E3" s="40" t="s">
        <v>36</v>
      </c>
      <c r="F3" s="41" t="s">
        <v>36</v>
      </c>
      <c r="G3" s="42" t="s">
        <v>36</v>
      </c>
    </row>
    <row r="4" spans="1:7" x14ac:dyDescent="0.2">
      <c r="E4" s="43" t="s">
        <v>36</v>
      </c>
      <c r="F4" s="44" t="s">
        <v>36</v>
      </c>
      <c r="G4" s="45" t="s">
        <v>36</v>
      </c>
    </row>
    <row r="5" spans="1:7" x14ac:dyDescent="0.2">
      <c r="A5" s="4" t="s">
        <v>37</v>
      </c>
      <c r="B5" s="3" t="s">
        <v>143</v>
      </c>
    </row>
    <row r="6" spans="1:7" x14ac:dyDescent="0.2">
      <c r="A6" s="4" t="s">
        <v>12</v>
      </c>
      <c r="B6" s="3" t="str">
        <f>Cover!C13 &amp; "-" &amp; Cover!D13</f>
        <v>12-2025</v>
      </c>
    </row>
    <row r="7" spans="1:7" hidden="1" x14ac:dyDescent="0.2"/>
    <row r="8" spans="1:7" hidden="1" x14ac:dyDescent="0.2"/>
    <row r="9" spans="1:7" ht="34.9" customHeight="1" x14ac:dyDescent="0.2">
      <c r="A9" s="16" t="s">
        <v>39</v>
      </c>
      <c r="B9" s="52" t="s">
        <v>105</v>
      </c>
    </row>
    <row r="10" spans="1:7" x14ac:dyDescent="0.2">
      <c r="A10" s="17" t="s">
        <v>41</v>
      </c>
      <c r="B10" s="52" t="s">
        <v>106</v>
      </c>
    </row>
    <row r="11" spans="1:7" x14ac:dyDescent="0.2">
      <c r="A11" s="17" t="s">
        <v>47</v>
      </c>
      <c r="B11" s="23" t="s">
        <v>107</v>
      </c>
    </row>
    <row r="12" spans="1:7" x14ac:dyDescent="0.2">
      <c r="A12" s="17" t="s">
        <v>53</v>
      </c>
      <c r="B12" s="24" t="s">
        <v>108</v>
      </c>
    </row>
    <row r="13" spans="1:7" x14ac:dyDescent="0.2">
      <c r="A13" s="17" t="s">
        <v>56</v>
      </c>
      <c r="B13" s="54" t="s">
        <v>57</v>
      </c>
    </row>
    <row r="14" spans="1:7" x14ac:dyDescent="0.2">
      <c r="A14" s="17" t="s">
        <v>58</v>
      </c>
      <c r="B14" s="55" t="s">
        <v>57</v>
      </c>
    </row>
    <row r="15" spans="1:7" x14ac:dyDescent="0.2">
      <c r="A15" s="17" t="s">
        <v>59</v>
      </c>
      <c r="B15" s="53"/>
    </row>
    <row r="16" spans="1:7" x14ac:dyDescent="0.2">
      <c r="A16" s="18" t="s">
        <v>60</v>
      </c>
      <c r="B16" s="25"/>
    </row>
    <row r="17" spans="1:2" hidden="1" x14ac:dyDescent="0.2">
      <c r="A17" s="17" t="s">
        <v>61</v>
      </c>
      <c r="B17" s="26">
        <v>142767</v>
      </c>
    </row>
    <row r="18" spans="1:2" hidden="1" x14ac:dyDescent="0.2">
      <c r="A18" s="17" t="s">
        <v>62</v>
      </c>
      <c r="B18" s="26">
        <v>835</v>
      </c>
    </row>
    <row r="19" spans="1:2" x14ac:dyDescent="0.2">
      <c r="A19" s="19" t="s">
        <v>63</v>
      </c>
      <c r="B19" s="27"/>
    </row>
    <row r="20" spans="1:2" x14ac:dyDescent="0.2">
      <c r="A20" s="19">
        <v>2</v>
      </c>
      <c r="B20" s="27"/>
    </row>
    <row r="21" spans="1:2" x14ac:dyDescent="0.2">
      <c r="A21" s="19">
        <v>3</v>
      </c>
      <c r="B21" s="27"/>
    </row>
    <row r="22" spans="1:2" x14ac:dyDescent="0.2">
      <c r="A22" s="19">
        <v>4</v>
      </c>
      <c r="B22" s="27"/>
    </row>
    <row r="23" spans="1:2" x14ac:dyDescent="0.2">
      <c r="A23" s="19">
        <v>5</v>
      </c>
      <c r="B23" s="27"/>
    </row>
    <row r="24" spans="1:2" x14ac:dyDescent="0.2">
      <c r="A24" s="19">
        <v>6</v>
      </c>
      <c r="B24" s="27"/>
    </row>
    <row r="25" spans="1:2" x14ac:dyDescent="0.2">
      <c r="A25" s="20">
        <v>7</v>
      </c>
      <c r="B25" s="25"/>
    </row>
    <row r="26" spans="1:2" x14ac:dyDescent="0.2">
      <c r="A26" s="19">
        <v>8</v>
      </c>
      <c r="B26" s="27"/>
    </row>
    <row r="27" spans="1:2" x14ac:dyDescent="0.2">
      <c r="A27" s="19">
        <v>9</v>
      </c>
      <c r="B27" s="27"/>
    </row>
    <row r="28" spans="1:2" x14ac:dyDescent="0.2">
      <c r="A28" s="19">
        <v>10</v>
      </c>
      <c r="B28" s="27">
        <v>1</v>
      </c>
    </row>
    <row r="29" spans="1:2" x14ac:dyDescent="0.2">
      <c r="A29" s="19">
        <v>11</v>
      </c>
      <c r="B29" s="27"/>
    </row>
    <row r="30" spans="1:2" x14ac:dyDescent="0.2">
      <c r="A30" s="19">
        <v>12</v>
      </c>
      <c r="B30" s="27"/>
    </row>
    <row r="31" spans="1:2" x14ac:dyDescent="0.2">
      <c r="A31" s="19">
        <v>13</v>
      </c>
      <c r="B31" s="27"/>
    </row>
    <row r="32" spans="1:2" x14ac:dyDescent="0.2">
      <c r="A32" s="20">
        <v>14</v>
      </c>
      <c r="B32" s="25"/>
    </row>
    <row r="33" spans="1:2" x14ac:dyDescent="0.2">
      <c r="A33" s="19">
        <v>15</v>
      </c>
      <c r="B33" s="27"/>
    </row>
    <row r="34" spans="1:2" x14ac:dyDescent="0.2">
      <c r="A34" s="19">
        <v>16</v>
      </c>
      <c r="B34" s="27"/>
    </row>
    <row r="35" spans="1:2" x14ac:dyDescent="0.2">
      <c r="A35" s="19">
        <v>17</v>
      </c>
      <c r="B35" s="27"/>
    </row>
    <row r="36" spans="1:2" x14ac:dyDescent="0.2">
      <c r="A36" s="19">
        <v>18</v>
      </c>
      <c r="B36" s="27"/>
    </row>
    <row r="37" spans="1:2" x14ac:dyDescent="0.2">
      <c r="A37" s="19">
        <v>19</v>
      </c>
      <c r="B37" s="27"/>
    </row>
    <row r="38" spans="1:2" x14ac:dyDescent="0.2">
      <c r="A38" s="19">
        <v>20</v>
      </c>
      <c r="B38" s="27"/>
    </row>
    <row r="39" spans="1:2" x14ac:dyDescent="0.2">
      <c r="A39" s="20">
        <v>21</v>
      </c>
      <c r="B39" s="25"/>
    </row>
    <row r="40" spans="1:2" x14ac:dyDescent="0.2">
      <c r="A40" s="19">
        <v>22</v>
      </c>
      <c r="B40" s="27"/>
    </row>
    <row r="41" spans="1:2" x14ac:dyDescent="0.2">
      <c r="A41" s="19">
        <v>23</v>
      </c>
      <c r="B41" s="27"/>
    </row>
    <row r="42" spans="1:2" x14ac:dyDescent="0.2">
      <c r="A42" s="19">
        <v>24</v>
      </c>
      <c r="B42" s="27"/>
    </row>
    <row r="43" spans="1:2" x14ac:dyDescent="0.2">
      <c r="A43" s="19">
        <v>25</v>
      </c>
      <c r="B43" s="27"/>
    </row>
    <row r="44" spans="1:2" x14ac:dyDescent="0.2">
      <c r="A44" s="19">
        <v>26</v>
      </c>
      <c r="B44" s="27"/>
    </row>
    <row r="45" spans="1:2" x14ac:dyDescent="0.2">
      <c r="A45" s="19">
        <v>27</v>
      </c>
      <c r="B45" s="27"/>
    </row>
    <row r="46" spans="1:2" x14ac:dyDescent="0.2">
      <c r="A46" s="20">
        <v>28</v>
      </c>
      <c r="B46" s="25"/>
    </row>
    <row r="47" spans="1:2" x14ac:dyDescent="0.2">
      <c r="A47" s="19">
        <v>29</v>
      </c>
      <c r="B47" s="27"/>
    </row>
    <row r="48" spans="1:2" x14ac:dyDescent="0.2">
      <c r="A48" s="19">
        <v>30</v>
      </c>
      <c r="B48" s="27"/>
    </row>
    <row r="49" spans="1:2" x14ac:dyDescent="0.2">
      <c r="A49" s="19">
        <v>31</v>
      </c>
      <c r="B49" s="27"/>
    </row>
    <row r="50" spans="1:2" hidden="1" x14ac:dyDescent="0.2">
      <c r="A50" s="21"/>
      <c r="B50" s="32"/>
    </row>
    <row r="51" spans="1:2" x14ac:dyDescent="0.2">
      <c r="A51" s="22" t="s">
        <v>64</v>
      </c>
      <c r="B51" s="28">
        <f>IF(COUNTA(B19:B50)&gt;0,SUM(B65:B96),"")</f>
        <v>1</v>
      </c>
    </row>
    <row r="52" spans="1:2" x14ac:dyDescent="0.2">
      <c r="A52" s="19" t="s">
        <v>65</v>
      </c>
      <c r="B52" s="29">
        <f>IF(ISNUMBER(AVERAGE(B65:B96)),AVERAGE(B65:B96),"")</f>
        <v>1</v>
      </c>
    </row>
    <row r="53" spans="1:2" x14ac:dyDescent="0.2">
      <c r="A53" s="19" t="s">
        <v>66</v>
      </c>
      <c r="B53" s="29">
        <f>IF(MAX(B65:B96)=0,"",MAX(B65:B96))</f>
        <v>1</v>
      </c>
    </row>
    <row r="54" spans="1:2" x14ac:dyDescent="0.2">
      <c r="A54" s="19" t="s">
        <v>67</v>
      </c>
      <c r="B54" s="29">
        <f>IF(MIN(B65:B96)=0,"",MIN(B65:B96))</f>
        <v>1</v>
      </c>
    </row>
    <row r="55" spans="1:2" x14ac:dyDescent="0.2">
      <c r="A55" s="19" t="s">
        <v>68</v>
      </c>
      <c r="B55" s="29">
        <f>IF(MAX(B57:B60)=0,"",MAX(B57:B60))</f>
        <v>1</v>
      </c>
    </row>
    <row r="56" spans="1:2" x14ac:dyDescent="0.2">
      <c r="A56" s="21"/>
      <c r="B56" s="30"/>
    </row>
    <row r="57" spans="1:2" hidden="1" x14ac:dyDescent="0.2">
      <c r="A57" s="22" t="s">
        <v>69</v>
      </c>
      <c r="B57" s="28" t="str">
        <f>IF(SUM(B65:B71)&gt;0,AVERAGE(B65:B71),"")</f>
        <v/>
      </c>
    </row>
    <row r="58" spans="1:2" hidden="1" x14ac:dyDescent="0.2">
      <c r="A58" s="19" t="s">
        <v>70</v>
      </c>
      <c r="B58" s="29">
        <f>IF(SUM(B72:B78)&gt;0,AVERAGE(B72:B78),"")</f>
        <v>1</v>
      </c>
    </row>
    <row r="59" spans="1:2" hidden="1" x14ac:dyDescent="0.2">
      <c r="A59" s="19" t="s">
        <v>71</v>
      </c>
      <c r="B59" s="29" t="str">
        <f>IF(SUM(B79:B85)&gt;0,AVERAGE(B79:B85),"")</f>
        <v/>
      </c>
    </row>
    <row r="60" spans="1:2" hidden="1" x14ac:dyDescent="0.2">
      <c r="A60" s="20" t="s">
        <v>72</v>
      </c>
      <c r="B60" s="31" t="str">
        <f>IF(SUM(B86:B92)&gt;0,AVERAGE(B86:B92),"")</f>
        <v/>
      </c>
    </row>
    <row r="65" spans="1:2" hidden="1" x14ac:dyDescent="0.2">
      <c r="A65" s="4" t="s">
        <v>73</v>
      </c>
      <c r="B65" s="3" t="str">
        <f t="shared" ref="B65:B96" si="0">IF(LEFT(B19,1) = "&lt;",0, IF(ISBLANK(B19),"",B19))</f>
        <v/>
      </c>
    </row>
    <row r="66" spans="1:2" hidden="1" x14ac:dyDescent="0.2">
      <c r="A66" s="4" t="s">
        <v>74</v>
      </c>
      <c r="B66" s="3" t="str">
        <f t="shared" si="0"/>
        <v/>
      </c>
    </row>
    <row r="67" spans="1:2" hidden="1" x14ac:dyDescent="0.2">
      <c r="A67" s="4" t="s">
        <v>75</v>
      </c>
      <c r="B67" s="3" t="str">
        <f t="shared" si="0"/>
        <v/>
      </c>
    </row>
    <row r="68" spans="1:2" hidden="1" x14ac:dyDescent="0.2">
      <c r="A68" s="4" t="s">
        <v>76</v>
      </c>
      <c r="B68" s="3" t="str">
        <f t="shared" si="0"/>
        <v/>
      </c>
    </row>
    <row r="69" spans="1:2" hidden="1" x14ac:dyDescent="0.2">
      <c r="A69" s="4" t="s">
        <v>77</v>
      </c>
      <c r="B69" s="3" t="str">
        <f t="shared" si="0"/>
        <v/>
      </c>
    </row>
    <row r="70" spans="1:2" hidden="1" x14ac:dyDescent="0.2">
      <c r="A70" s="4" t="s">
        <v>78</v>
      </c>
      <c r="B70" s="3" t="str">
        <f t="shared" si="0"/>
        <v/>
      </c>
    </row>
    <row r="71" spans="1:2" hidden="1" x14ac:dyDescent="0.2">
      <c r="A71" s="4" t="s">
        <v>79</v>
      </c>
      <c r="B71" s="3" t="str">
        <f t="shared" si="0"/>
        <v/>
      </c>
    </row>
    <row r="72" spans="1:2" hidden="1" x14ac:dyDescent="0.2">
      <c r="A72" s="4" t="s">
        <v>80</v>
      </c>
      <c r="B72" s="3" t="str">
        <f t="shared" si="0"/>
        <v/>
      </c>
    </row>
    <row r="73" spans="1:2" hidden="1" x14ac:dyDescent="0.2">
      <c r="A73" s="4" t="s">
        <v>81</v>
      </c>
      <c r="B73" s="3" t="str">
        <f t="shared" si="0"/>
        <v/>
      </c>
    </row>
    <row r="74" spans="1:2" hidden="1" x14ac:dyDescent="0.2">
      <c r="A74" s="4" t="s">
        <v>82</v>
      </c>
      <c r="B74" s="3">
        <f t="shared" si="0"/>
        <v>1</v>
      </c>
    </row>
    <row r="75" spans="1:2" hidden="1" x14ac:dyDescent="0.2">
      <c r="A75" s="4" t="s">
        <v>83</v>
      </c>
      <c r="B75" s="3" t="str">
        <f t="shared" si="0"/>
        <v/>
      </c>
    </row>
    <row r="76" spans="1:2" hidden="1" x14ac:dyDescent="0.2">
      <c r="A76" s="4" t="s">
        <v>84</v>
      </c>
      <c r="B76" s="3" t="str">
        <f t="shared" si="0"/>
        <v/>
      </c>
    </row>
    <row r="77" spans="1:2" hidden="1" x14ac:dyDescent="0.2">
      <c r="A77" s="4" t="s">
        <v>85</v>
      </c>
      <c r="B77" s="3" t="str">
        <f t="shared" si="0"/>
        <v/>
      </c>
    </row>
    <row r="78" spans="1:2" hidden="1" x14ac:dyDescent="0.2">
      <c r="A78" s="4" t="s">
        <v>86</v>
      </c>
      <c r="B78" s="3" t="str">
        <f t="shared" si="0"/>
        <v/>
      </c>
    </row>
    <row r="79" spans="1:2" hidden="1" x14ac:dyDescent="0.2">
      <c r="A79" s="4" t="s">
        <v>87</v>
      </c>
      <c r="B79" s="3" t="str">
        <f t="shared" si="0"/>
        <v/>
      </c>
    </row>
    <row r="80" spans="1:2" hidden="1" x14ac:dyDescent="0.2">
      <c r="A80" s="4" t="s">
        <v>88</v>
      </c>
      <c r="B80" s="3" t="str">
        <f t="shared" si="0"/>
        <v/>
      </c>
    </row>
    <row r="81" spans="1:2" hidden="1" x14ac:dyDescent="0.2">
      <c r="A81" s="4" t="s">
        <v>89</v>
      </c>
      <c r="B81" s="3" t="str">
        <f t="shared" si="0"/>
        <v/>
      </c>
    </row>
    <row r="82" spans="1:2" hidden="1" x14ac:dyDescent="0.2">
      <c r="A82" s="4" t="s">
        <v>90</v>
      </c>
      <c r="B82" s="3" t="str">
        <f t="shared" si="0"/>
        <v/>
      </c>
    </row>
    <row r="83" spans="1:2" hidden="1" x14ac:dyDescent="0.2">
      <c r="A83" s="4" t="s">
        <v>91</v>
      </c>
      <c r="B83" s="3" t="str">
        <f t="shared" si="0"/>
        <v/>
      </c>
    </row>
    <row r="84" spans="1:2" hidden="1" x14ac:dyDescent="0.2">
      <c r="A84" s="4" t="s">
        <v>92</v>
      </c>
      <c r="B84" s="3" t="str">
        <f t="shared" si="0"/>
        <v/>
      </c>
    </row>
    <row r="85" spans="1:2" hidden="1" x14ac:dyDescent="0.2">
      <c r="A85" s="4" t="s">
        <v>93</v>
      </c>
      <c r="B85" s="3" t="str">
        <f t="shared" si="0"/>
        <v/>
      </c>
    </row>
    <row r="86" spans="1:2" hidden="1" x14ac:dyDescent="0.2">
      <c r="A86" s="4" t="s">
        <v>94</v>
      </c>
      <c r="B86" s="3" t="str">
        <f t="shared" si="0"/>
        <v/>
      </c>
    </row>
    <row r="87" spans="1:2" hidden="1" x14ac:dyDescent="0.2">
      <c r="A87" s="4" t="s">
        <v>95</v>
      </c>
      <c r="B87" s="3" t="str">
        <f t="shared" si="0"/>
        <v/>
      </c>
    </row>
    <row r="88" spans="1:2" hidden="1" x14ac:dyDescent="0.2">
      <c r="A88" s="4" t="s">
        <v>96</v>
      </c>
      <c r="B88" s="3" t="str">
        <f t="shared" si="0"/>
        <v/>
      </c>
    </row>
    <row r="89" spans="1:2" hidden="1" x14ac:dyDescent="0.2">
      <c r="A89" s="4" t="s">
        <v>97</v>
      </c>
      <c r="B89" s="3" t="str">
        <f t="shared" si="0"/>
        <v/>
      </c>
    </row>
    <row r="90" spans="1:2" hidden="1" x14ac:dyDescent="0.2">
      <c r="A90" s="4" t="s">
        <v>98</v>
      </c>
      <c r="B90" s="3" t="str">
        <f t="shared" si="0"/>
        <v/>
      </c>
    </row>
    <row r="91" spans="1:2" hidden="1" x14ac:dyDescent="0.2">
      <c r="A91" s="4" t="s">
        <v>99</v>
      </c>
      <c r="B91" s="3" t="str">
        <f t="shared" si="0"/>
        <v/>
      </c>
    </row>
    <row r="92" spans="1:2" hidden="1" x14ac:dyDescent="0.2">
      <c r="A92" s="4" t="s">
        <v>100</v>
      </c>
      <c r="B92" s="3" t="str">
        <f t="shared" si="0"/>
        <v/>
      </c>
    </row>
    <row r="93" spans="1:2" hidden="1" x14ac:dyDescent="0.2">
      <c r="A93" s="4" t="s">
        <v>101</v>
      </c>
      <c r="B93" s="3" t="str">
        <f t="shared" si="0"/>
        <v/>
      </c>
    </row>
    <row r="94" spans="1:2" hidden="1" x14ac:dyDescent="0.2">
      <c r="A94" s="4" t="s">
        <v>102</v>
      </c>
      <c r="B94" s="3" t="str">
        <f t="shared" si="0"/>
        <v/>
      </c>
    </row>
    <row r="95" spans="1:2" hidden="1" x14ac:dyDescent="0.2">
      <c r="A95" s="4" t="s">
        <v>103</v>
      </c>
      <c r="B95" s="3" t="str">
        <f t="shared" si="0"/>
        <v/>
      </c>
    </row>
    <row r="96" spans="1:2" x14ac:dyDescent="0.2">
      <c r="B96" s="3" t="str">
        <f t="shared" si="0"/>
        <v/>
      </c>
    </row>
  </sheetData>
  <sheetProtection algorithmName="SHA-512" hashValue="VrjUh14AwMmQ49ykhxZ5L3t4aP7AD0iIth5/91Wz8TkY9uJdgUy3np1S5OzzuqWgQ3Uw9a0oU5FZ9DY5BzcrCg==" saltValue="SInJJIfscoBtSt3gsPCyhQ==" spinCount="100000" sheet="1"/>
  <mergeCells count="6">
    <mergeCell ref="B2:D3"/>
    <mergeCell ref="E1:G4"/>
    <mergeCell ref="B9"/>
    <mergeCell ref="B15"/>
    <mergeCell ref="B13:B14"/>
    <mergeCell ref="B10"/>
  </mergeCells>
  <conditionalFormatting sqref="B15">
    <cfRule type="containsText" dxfId="1" priority="1" operator="containsText" text="13">
      <formula>NOT(ISERROR(SEARCH("13",B15)))</formula>
    </cfRule>
    <cfRule type="expression" dxfId="0" priority="2">
      <formula>NOT(AND(SUM(B51)=0,ISBLANK(B15)))</formula>
    </cfRule>
  </conditionalFormatting>
  <dataValidations count="2">
    <dataValidation type="list" sqref="B15" xr:uid="{00000000-0002-0000-0E00-000000000000}">
      <formula1>"01 - LAGOON STOR,02 - LOW FLOW,03 - OPR SHUTDOWN,04 - OUTFALL FROZ,05 - NO DETECTION,06 - NOT REQ / MP,07 - NOT REPORTED,08 - BROKEN EQUIP,09 - LAB ERROR,10 - UNDER CONSTR,11 - NO OPERATOR,12 - CERTIFIED,13 - NO DISCHARGE,14 - FLOOD DISASTER"</formula1>
    </dataValidation>
    <dataValidation type="custom" allowBlank="1" showErrorMessage="1" errorTitle="Invalid Value" error="Please enter a valid value. Select the Cancel button to continue." sqref="B19:B50" xr:uid="{00000000-0002-0000-0E00-000001000000}">
      <formula1>OR(LEFT(B19:B50,1)= "&lt;", AND(ISNUMBER(B19:B50),B19:B50&gt;=0))</formula1>
    </dataValidation>
  </dataValidations>
  <pageMargins left="0.5" right="0.5" top="0.5" bottom="0.5" header="0.315" footer="0.315"/>
  <pageSetup fitToWidth="0" orientation="landscape"/>
  <headerFooter>
    <oddHeader>&amp;C&amp;"Aptos"&amp;12&amp;K000000 ROQUETTE RESTRICTED&amp;1#_x000D_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29f62856-1543-49d4-a736-4569d363f533" ContentTypeId="0x0101" PreviousValue="false" LastSyncTimeStamp="2016-08-25T00:16:07.24Z"/>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544afff-75d4-46c3-bb0a-a1932111eac3">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3f09c3df709400db2417a7161762d62 xmlns="3a862933-acf8-4819-bed7-548115c7ca12">
      <Terms xmlns="http://schemas.microsoft.com/office/infopath/2007/PartnerControls"/>
    </e3f09c3df709400db2417a7161762d62>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2026-03-27T16:47:00+00:00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_dlc_DocId xmlns="3a862933-acf8-4819-bed7-548115c7ca12">RTS3SSRCNEP5-944904100-134441</_dlc_DocId>
    <_dlc_DocIdUrl xmlns="3a862933-acf8-4819-bed7-548115c7ca12">
      <Url>https://usepa.sharepoint.com/sites/R7-ECAD/_layouts/15/DocIdRedir.aspx?ID=RTS3SSRCNEP5-944904100-134441</Url>
      <Description>RTS3SSRCNEP5-944904100-134441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CFC8BB6816EC6E49B2CC2A02D282FC58" ma:contentTypeVersion="21" ma:contentTypeDescription="Create a new document." ma:contentTypeScope="" ma:versionID="3a7e189bf6710e3ff9a5ec661b994fb4">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862933-acf8-4819-bed7-548115c7ca12" xmlns:ns6="2544afff-75d4-46c3-bb0a-a1932111eac3" targetNamespace="http://schemas.microsoft.com/office/2006/metadata/properties" ma:root="true" ma:fieldsID="f60c03e9ba568cd37accf9a685a74bc2" ns1:_="" ns2:_="" ns3:_="" ns4:_="" ns5:_="" ns6:_="">
    <xsd:import namespace="http://schemas.microsoft.com/sharepoint/v3"/>
    <xsd:import namespace="4ffa91fb-a0ff-4ac5-b2db-65c790d184a4"/>
    <xsd:import namespace="http://schemas.microsoft.com/sharepoint.v3"/>
    <xsd:import namespace="http://schemas.microsoft.com/sharepoint/v3/fields"/>
    <xsd:import namespace="3a862933-acf8-4819-bed7-548115c7ca12"/>
    <xsd:import namespace="2544afff-75d4-46c3-bb0a-a1932111eac3"/>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e3f09c3df709400db2417a7161762d62" minOccurs="0"/>
                <xsd:element ref="ns6:MediaServiceMetadata" minOccurs="0"/>
                <xsd:element ref="ns6:MediaServiceFastMetadata" minOccurs="0"/>
                <xsd:element ref="ns6:lcf76f155ced4ddcb4097134ff3c332f" minOccurs="0"/>
                <xsd:element ref="ns6:MediaServiceOCR" minOccurs="0"/>
                <xsd:element ref="ns6:MediaServiceGenerationTime" minOccurs="0"/>
                <xsd:element ref="ns6:MediaServiceEventHashCode" minOccurs="0"/>
                <xsd:element ref="ns6:MediaServiceDateTaken" minOccurs="0"/>
                <xsd:element ref="ns6:MediaLengthInSeconds" minOccurs="0"/>
                <xsd:element ref="ns6:MediaServiceLocation" minOccurs="0"/>
                <xsd:element ref="ns5:SharedWithUsers" minOccurs="0"/>
                <xsd:element ref="ns5:SharedWithDetails" minOccurs="0"/>
                <xsd:element ref="ns5:_dlc_DocId" minOccurs="0"/>
                <xsd:element ref="ns5:_dlc_DocIdUrl" minOccurs="0"/>
                <xsd:element ref="ns5:_dlc_DocIdPersistId" minOccurs="0"/>
                <xsd:element ref="ns6:MediaServiceObjectDetectorVersions" minOccurs="0"/>
                <xsd:element ref="ns1:_ip_UnifiedCompliancePolicyProperties" minOccurs="0"/>
                <xsd:element ref="ns1:_ip_UnifiedCompliancePolicyUIAction" minOccurs="0"/>
                <xsd:element ref="ns6:MediaServiceSearchProperties" minOccurs="0"/>
                <xsd:element ref="ns6: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23"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9"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10"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11"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15"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7"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8"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20"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22"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24"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5"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6" nillable="true" ma:displayName="Taxonomy Catch All Column1" ma:hidden="true" ma:list="{995f4132-201d-4a70-b7ed-cd5b11fef97f}" ma:internalName="TaxCatchAllLabel" ma:readOnly="true" ma:showField="CatchAllDataLabel" ma:web="3a862933-acf8-4819-bed7-548115c7ca12">
      <xsd:complexType>
        <xsd:complexContent>
          <xsd:extension base="dms:MultiChoiceLookup">
            <xsd:sequence>
              <xsd:element name="Value" type="dms:Lookup" maxOccurs="unbounded" minOccurs="0" nillable="true"/>
            </xsd:sequence>
          </xsd:extension>
        </xsd:complexContent>
      </xsd:complexType>
    </xsd:element>
    <xsd:element name="TaxCatchAll" ma:index="27" nillable="true" ma:displayName="Taxonomy Catch All Column" ma:hidden="true" ma:list="{995f4132-201d-4a70-b7ed-cd5b11fef97f}" ma:internalName="TaxCatchAll" ma:showField="CatchAllData" ma:web="3a862933-acf8-4819-bed7-548115c7ca1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2"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9"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21"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862933-acf8-4819-bed7-548115c7ca12" elementFormDefault="qualified">
    <xsd:import namespace="http://schemas.microsoft.com/office/2006/documentManagement/types"/>
    <xsd:import namespace="http://schemas.microsoft.com/office/infopath/2007/PartnerControls"/>
    <xsd:element name="e3f09c3df709400db2417a7161762d62" ma:index="28" nillable="true" ma:taxonomy="true" ma:internalName="e3f09c3df709400db2417a7161762d62" ma:taxonomyFieldName="EPA_x0020_Subject" ma:displayName="EPA Subject" ma:readOnly="false" ma:default="" ma:fieldId="{e3f09c3d-f709-400d-b241-7a7161762d62}" ma:taxonomyMulti="true" ma:sspId="29f62856-1543-49d4-a736-4569d363f533" ma:termSetId="7a3d4ae0-7e62-45a2-a406-c6a8a6a8eee3" ma:anchorId="00000000-0000-0000-0000-000000000000" ma:open="false" ma:isKeyword="false">
      <xsd:complexType>
        <xsd:sequence>
          <xsd:element ref="pc:Terms" minOccurs="0" maxOccurs="1"/>
        </xsd:sequence>
      </xsd:complexType>
    </xsd:element>
    <xsd:element name="SharedWithUsers" ma:index="3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0" nillable="true" ma:displayName="Shared With Details" ma:internalName="SharedWithDetails" ma:readOnly="true">
      <xsd:simpleType>
        <xsd:restriction base="dms:Note">
          <xsd:maxLength value="255"/>
        </xsd:restriction>
      </xsd:simpleType>
    </xsd:element>
    <xsd:element name="_dlc_DocId" ma:index="41" nillable="true" ma:displayName="Document ID Value" ma:description="The value of the document ID assigned to this item." ma:indexed="true" ma:internalName="_dlc_DocId" ma:readOnly="true">
      <xsd:simpleType>
        <xsd:restriction base="dms:Text"/>
      </xsd:simpleType>
    </xsd:element>
    <xsd:element name="_dlc_DocIdUrl" ma:index="4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3"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44afff-75d4-46c3-bb0a-a1932111eac3" elementFormDefault="qualified">
    <xsd:import namespace="http://schemas.microsoft.com/office/2006/documentManagement/types"/>
    <xsd:import namespace="http://schemas.microsoft.com/office/infopath/2007/PartnerControls"/>
    <xsd:element name="MediaServiceMetadata" ma:index="29"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DateTaken" ma:index="36" nillable="true" ma:displayName="MediaServiceDateTaken" ma:hidden="true" ma:indexed="true" ma:internalName="MediaServiceDateTaken"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element name="MediaServiceLocation" ma:index="38" nillable="true" ma:displayName="Location" ma:indexed="true" ma:internalName="MediaServiceLocation" ma:readOnly="true">
      <xsd:simpleType>
        <xsd:restriction base="dms:Text"/>
      </xsd:simpleType>
    </xsd:element>
    <xsd:element name="MediaServiceObjectDetectorVersions" ma:index="44"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element name="MediaServiceBillingMetadata" ma:index="4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8B28F8-BBBD-4C3A-92D1-1CD5DF996D67}">
  <ds:schemaRefs>
    <ds:schemaRef ds:uri="http://schemas.microsoft.com/sharepoint/events"/>
  </ds:schemaRefs>
</ds:datastoreItem>
</file>

<file path=customXml/itemProps2.xml><?xml version="1.0" encoding="utf-8"?>
<ds:datastoreItem xmlns:ds="http://schemas.openxmlformats.org/officeDocument/2006/customXml" ds:itemID="{ABCD1760-02F8-4B5F-8FD6-B8328909DA55}">
  <ds:schemaRefs>
    <ds:schemaRef ds:uri="Microsoft.SharePoint.Taxonomy.ContentTypeSync"/>
  </ds:schemaRefs>
</ds:datastoreItem>
</file>

<file path=customXml/itemProps3.xml><?xml version="1.0" encoding="utf-8"?>
<ds:datastoreItem xmlns:ds="http://schemas.openxmlformats.org/officeDocument/2006/customXml" ds:itemID="{DDAD0257-5310-4612-B87F-82DC6CE8BB0D}">
  <ds:schemaRefs>
    <ds:schemaRef ds:uri="6942b332-2c38-4883-bef2-71dbd19f7f16"/>
    <ds:schemaRef ds:uri="http://purl.org/dc/dcmitype/"/>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schemas.microsoft.com/office/infopath/2007/PartnerControls"/>
    <ds:schemaRef ds:uri="0c3263da-1245-4e5d-b221-8408b7e5d9d3"/>
    <ds:schemaRef ds:uri="http://purl.org/dc/elements/1.1/"/>
    <ds:schemaRef ds:uri="2544afff-75d4-46c3-bb0a-a1932111eac3"/>
    <ds:schemaRef ds:uri="4ffa91fb-a0ff-4ac5-b2db-65c790d184a4"/>
    <ds:schemaRef ds:uri="http://schemas.microsoft.com/sharepoint/v3/fields"/>
    <ds:schemaRef ds:uri="http://schemas.microsoft.com/sharepoint/v3"/>
    <ds:schemaRef ds:uri="3a862933-acf8-4819-bed7-548115c7ca12"/>
    <ds:schemaRef ds:uri="http://schemas.microsoft.com/sharepoint.v3"/>
  </ds:schemaRefs>
</ds:datastoreItem>
</file>

<file path=customXml/itemProps4.xml><?xml version="1.0" encoding="utf-8"?>
<ds:datastoreItem xmlns:ds="http://schemas.openxmlformats.org/officeDocument/2006/customXml" ds:itemID="{71B547EE-1060-431D-B7FC-6B4D7C987615}">
  <ds:schemaRefs>
    <ds:schemaRef ds:uri="http://schemas.microsoft.com/sharepoint/v3/contenttype/forms"/>
  </ds:schemaRefs>
</ds:datastoreItem>
</file>

<file path=customXml/itemProps5.xml><?xml version="1.0" encoding="utf-8"?>
<ds:datastoreItem xmlns:ds="http://schemas.openxmlformats.org/officeDocument/2006/customXml" ds:itemID="{A2E6F069-149C-45F2-966F-E9ED212C6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862933-acf8-4819-bed7-548115c7ca12"/>
    <ds:schemaRef ds:uri="2544afff-75d4-46c3-bb0a-a1932111e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Cover</vt:lpstr>
      <vt:lpstr>001-EFFLUENT</vt:lpstr>
      <vt:lpstr>005-EFFLUENT</vt:lpstr>
      <vt:lpstr>006-EFFLUENT</vt:lpstr>
      <vt:lpstr>007-EFFLUENT</vt:lpstr>
      <vt:lpstr>009-EFFLUENT</vt:lpstr>
      <vt:lpstr>011-EFFLUENT</vt:lpstr>
      <vt:lpstr>012-INFLUENT</vt:lpstr>
      <vt:lpstr>012-EFFLUENT</vt:lpstr>
      <vt:lpstr>013-EFFLUENT</vt:lpstr>
      <vt:lpstr>014-EFFLUENT</vt:lpstr>
      <vt:lpstr>015-EFFLUENT</vt:lpstr>
      <vt:lpstr>016-EFFLUENT</vt:lpstr>
      <vt:lpstr>019-EFFLUENT</vt:lpstr>
      <vt:lpstr>020-EFFLUENT</vt:lpstr>
      <vt:lpstr>Cover!Print_Area</vt:lpstr>
      <vt:lpstr>'001-EFFLUENT'!Print_Titles</vt:lpstr>
      <vt:lpstr>'005-EFFLUENT'!Print_Titles</vt:lpstr>
      <vt:lpstr>'006-EFFLUENT'!Print_Titles</vt:lpstr>
      <vt:lpstr>'007-EFFLUENT'!Print_Titles</vt:lpstr>
      <vt:lpstr>'009-EFFLUENT'!Print_Titles</vt:lpstr>
      <vt:lpstr>'011-EFFLUENT'!Print_Titles</vt:lpstr>
      <vt:lpstr>'012-EFFLUENT'!Print_Titles</vt:lpstr>
      <vt:lpstr>'012-INFLUENT'!Print_Titles</vt:lpstr>
      <vt:lpstr>'013-EFFLUENT'!Print_Titles</vt:lpstr>
      <vt:lpstr>'014-EFFLUENT'!Print_Titles</vt:lpstr>
      <vt:lpstr>'015-EFFLUENT'!Print_Titles</vt:lpstr>
      <vt:lpstr>'016-EFFLUENT'!Print_Titles</vt:lpstr>
      <vt:lpstr>'019-EFFLUENT'!Print_Titles</vt:lpstr>
      <vt:lpstr>'020-EFFLUENT'!Print_Titles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Brian [DNR]</dc:creator>
  <cp:lastModifiedBy>Appier, Christopher</cp:lastModifiedBy>
  <dcterms:created xsi:type="dcterms:W3CDTF">2025-06-24T16:09:56Z</dcterms:created>
  <dcterms:modified xsi:type="dcterms:W3CDTF">2026-07-16T18:14:27Z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0x010100CFC8BB6816EC6E49B2CC2A02D282FC58</vt:lpwstr>
  </property>
  <property fmtid="{D5CDD505-2E9C-101B-9397-08002B2CF9AE}" pid="3" name="MSIP_Label_7fd32c02-70ad-444c-8f5d-8579a670db95_Enabled">
    <vt:lpwstr>true</vt:lpwstr>
  </property>
  <property fmtid="{D5CDD505-2E9C-101B-9397-08002B2CF9AE}" pid="4" name="MSIP_Label_7fd32c02-70ad-444c-8f5d-8579a670db95_SetDate">
    <vt:lpwstr>2026-01-15T16:11:51Z</vt:lpwstr>
  </property>
  <property fmtid="{D5CDD505-2E9C-101B-9397-08002B2CF9AE}" pid="5" name="MSIP_Label_7fd32c02-70ad-444c-8f5d-8579a670db95_Method">
    <vt:lpwstr>Standard</vt:lpwstr>
  </property>
  <property fmtid="{D5CDD505-2E9C-101B-9397-08002B2CF9AE}" pid="6" name="MSIP_Label_7fd32c02-70ad-444c-8f5d-8579a670db95_Name">
    <vt:lpwstr>7fd32c02-70ad-444c-8f5d-8579a670db95</vt:lpwstr>
  </property>
  <property fmtid="{D5CDD505-2E9C-101B-9397-08002B2CF9AE}" pid="7" name="MSIP_Label_7fd32c02-70ad-444c-8f5d-8579a670db95_SiteId">
    <vt:lpwstr>1c81ebf9-6e52-4cf8-b2c4-a3b65e90edf9</vt:lpwstr>
  </property>
  <property fmtid="{D5CDD505-2E9C-101B-9397-08002B2CF9AE}" pid="8" name="MSIP_Label_7fd32c02-70ad-444c-8f5d-8579a670db95_ActionId">
    <vt:lpwstr>a86f7ed9-802d-49de-9171-68e105374dec</vt:lpwstr>
  </property>
  <property fmtid="{D5CDD505-2E9C-101B-9397-08002B2CF9AE}" pid="9" name="MSIP_Label_7fd32c02-70ad-444c-8f5d-8579a670db95_ContentBits">
    <vt:lpwstr>1</vt:lpwstr>
  </property>
  <property fmtid="{D5CDD505-2E9C-101B-9397-08002B2CF9AE}" pid="10" name="MSIP_Label_7fd32c02-70ad-444c-8f5d-8579a670db95_Tag">
    <vt:lpwstr>10, 3, 0, 1</vt:lpwstr>
  </property>
  <property fmtid="{D5CDD505-2E9C-101B-9397-08002B2CF9AE}" pid="11" name="_dlc_DocIdItemGuid">
    <vt:lpwstr>ce9f8025-4ebb-4f58-a091-b795850e8c1e</vt:lpwstr>
  </property>
</Properties>
</file>